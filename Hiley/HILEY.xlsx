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heckCompatibility="1"/>
  <mc:AlternateContent xmlns:mc="http://schemas.openxmlformats.org/markup-compatibility/2006">
    <mc:Choice Requires="x15">
      <x15ac:absPath xmlns:x15ac="http://schemas.microsoft.com/office/spreadsheetml/2010/11/ac" url="D:\Documentos\Desarrollo\Python\CalculoPilotes\Hiley\"/>
    </mc:Choice>
  </mc:AlternateContent>
  <xr:revisionPtr revIDLastSave="0" documentId="13_ncr:1_{A94673D2-4D14-426C-A8C6-96246A21ABCC}" xr6:coauthVersionLast="47" xr6:coauthVersionMax="47" xr10:uidLastSave="{00000000-0000-0000-0000-000000000000}"/>
  <bookViews>
    <workbookView xWindow="1950" yWindow="1950" windowWidth="15375" windowHeight="7875" activeTab="1" xr2:uid="{CD5A0E0D-325C-410C-95AB-2D254E291664}"/>
  </bookViews>
  <sheets>
    <sheet name="P-01" sheetId="6" r:id="rId1"/>
    <sheet name="P-02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7" l="1"/>
  <c r="F45" i="7" s="1"/>
  <c r="E44" i="7"/>
  <c r="G44" i="7" s="1"/>
  <c r="E43" i="7"/>
  <c r="G43" i="7" s="1"/>
  <c r="E42" i="7"/>
  <c r="G42" i="7" s="1"/>
  <c r="E41" i="7"/>
  <c r="F41" i="7" s="1"/>
  <c r="E40" i="7"/>
  <c r="G40" i="7" s="1"/>
  <c r="E39" i="7"/>
  <c r="E38" i="7"/>
  <c r="G38" i="7" s="1"/>
  <c r="E37" i="7"/>
  <c r="F37" i="7" s="1"/>
  <c r="E36" i="7"/>
  <c r="G36" i="7" s="1"/>
  <c r="E35" i="7"/>
  <c r="E34" i="7"/>
  <c r="G34" i="7" s="1"/>
  <c r="E33" i="7"/>
  <c r="F33" i="7" s="1"/>
  <c r="E32" i="7"/>
  <c r="G32" i="7" s="1"/>
  <c r="E31" i="7"/>
  <c r="E30" i="7"/>
  <c r="G30" i="7" s="1"/>
  <c r="E29" i="7"/>
  <c r="F29" i="7" s="1"/>
  <c r="F28" i="7"/>
  <c r="E28" i="7"/>
  <c r="G28" i="7" s="1"/>
  <c r="E27" i="7"/>
  <c r="E26" i="7"/>
  <c r="G26" i="7" s="1"/>
  <c r="E25" i="7"/>
  <c r="F25" i="7" s="1"/>
  <c r="E24" i="7"/>
  <c r="G24" i="7" s="1"/>
  <c r="A24" i="7"/>
  <c r="D24" i="7" s="1"/>
  <c r="E23" i="7"/>
  <c r="D23" i="7"/>
  <c r="E22" i="7"/>
  <c r="F22" i="7" s="1"/>
  <c r="D22" i="7"/>
  <c r="E21" i="7"/>
  <c r="D21" i="7"/>
  <c r="E20" i="7"/>
  <c r="F20" i="7" s="1"/>
  <c r="D20" i="7"/>
  <c r="E19" i="7"/>
  <c r="D19" i="7"/>
  <c r="G18" i="7"/>
  <c r="E18" i="7"/>
  <c r="F18" i="7" s="1"/>
  <c r="D18" i="7"/>
  <c r="E17" i="7"/>
  <c r="D17" i="7"/>
  <c r="E16" i="7"/>
  <c r="F16" i="7" s="1"/>
  <c r="D16" i="7"/>
  <c r="E15" i="7"/>
  <c r="D15" i="7"/>
  <c r="E14" i="7"/>
  <c r="G14" i="7" s="1"/>
  <c r="D14" i="7"/>
  <c r="E13" i="7"/>
  <c r="G13" i="7" s="1"/>
  <c r="D13" i="7"/>
  <c r="F12" i="7"/>
  <c r="E12" i="7"/>
  <c r="G12" i="7" s="1"/>
  <c r="D12" i="7"/>
  <c r="E11" i="7"/>
  <c r="G11" i="7" s="1"/>
  <c r="D11" i="7"/>
  <c r="E10" i="7"/>
  <c r="G10" i="7" s="1"/>
  <c r="D10" i="7"/>
  <c r="E9" i="7"/>
  <c r="G9" i="7" s="1"/>
  <c r="D9" i="7"/>
  <c r="E8" i="7"/>
  <c r="G8" i="7" s="1"/>
  <c r="D8" i="7"/>
  <c r="E7" i="7"/>
  <c r="G7" i="7" s="1"/>
  <c r="D7" i="7"/>
  <c r="E6" i="7"/>
  <c r="G6" i="7" s="1"/>
  <c r="D6" i="7"/>
  <c r="E5" i="7"/>
  <c r="G5" i="7" s="1"/>
  <c r="D5" i="7"/>
  <c r="D43" i="6"/>
  <c r="E43" i="6"/>
  <c r="F43" i="6"/>
  <c r="H43" i="6" s="1"/>
  <c r="I43" i="6" s="1"/>
  <c r="G43" i="6"/>
  <c r="D44" i="6"/>
  <c r="E44" i="6"/>
  <c r="F44" i="6" s="1"/>
  <c r="D45" i="6"/>
  <c r="E45" i="6"/>
  <c r="F45" i="6"/>
  <c r="H45" i="6" s="1"/>
  <c r="I45" i="6" s="1"/>
  <c r="G45" i="6"/>
  <c r="D46" i="6"/>
  <c r="E46" i="6"/>
  <c r="F46" i="6" s="1"/>
  <c r="D47" i="6"/>
  <c r="E47" i="6"/>
  <c r="F47" i="6"/>
  <c r="H47" i="6" s="1"/>
  <c r="I47" i="6" s="1"/>
  <c r="G47" i="6"/>
  <c r="D48" i="6"/>
  <c r="E48" i="6"/>
  <c r="F48" i="6" s="1"/>
  <c r="D49" i="6"/>
  <c r="E49" i="6"/>
  <c r="F49" i="6"/>
  <c r="H49" i="6" s="1"/>
  <c r="I49" i="6" s="1"/>
  <c r="G49" i="6"/>
  <c r="D50" i="6"/>
  <c r="E50" i="6"/>
  <c r="F50" i="6" s="1"/>
  <c r="D51" i="6"/>
  <c r="E51" i="6"/>
  <c r="F51" i="6"/>
  <c r="H51" i="6" s="1"/>
  <c r="I51" i="6" s="1"/>
  <c r="G51" i="6"/>
  <c r="D52" i="6"/>
  <c r="E52" i="6"/>
  <c r="F52" i="6" s="1"/>
  <c r="D53" i="6"/>
  <c r="E53" i="6"/>
  <c r="F53" i="6"/>
  <c r="H53" i="6" s="1"/>
  <c r="I53" i="6" s="1"/>
  <c r="G53" i="6"/>
  <c r="D54" i="6"/>
  <c r="E54" i="6"/>
  <c r="F54" i="6" s="1"/>
  <c r="D55" i="6"/>
  <c r="E55" i="6"/>
  <c r="F55" i="6"/>
  <c r="H55" i="6" s="1"/>
  <c r="I55" i="6" s="1"/>
  <c r="G55" i="6"/>
  <c r="D56" i="6"/>
  <c r="E56" i="6"/>
  <c r="F56" i="6" s="1"/>
  <c r="D57" i="6"/>
  <c r="E57" i="6"/>
  <c r="F57" i="6"/>
  <c r="H57" i="6" s="1"/>
  <c r="I57" i="6" s="1"/>
  <c r="G57" i="6"/>
  <c r="D58" i="6"/>
  <c r="E58" i="6"/>
  <c r="F58" i="6" s="1"/>
  <c r="D59" i="6"/>
  <c r="E59" i="6"/>
  <c r="F59" i="6"/>
  <c r="H59" i="6" s="1"/>
  <c r="I59" i="6" s="1"/>
  <c r="G59" i="6"/>
  <c r="D60" i="6"/>
  <c r="E60" i="6"/>
  <c r="F60" i="6" s="1"/>
  <c r="A43" i="6"/>
  <c r="A44" i="6"/>
  <c r="A45" i="6"/>
  <c r="A46" i="6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F8" i="7" l="1"/>
  <c r="H8" i="7" s="1"/>
  <c r="I8" i="7" s="1"/>
  <c r="A25" i="7"/>
  <c r="F26" i="7"/>
  <c r="G45" i="7"/>
  <c r="F6" i="7"/>
  <c r="F9" i="7"/>
  <c r="H9" i="7" s="1"/>
  <c r="I9" i="7" s="1"/>
  <c r="G16" i="7"/>
  <c r="G20" i="7"/>
  <c r="H20" i="7" s="1"/>
  <c r="I20" i="7" s="1"/>
  <c r="F30" i="7"/>
  <c r="G33" i="7"/>
  <c r="G37" i="7"/>
  <c r="F7" i="7"/>
  <c r="H7" i="7" s="1"/>
  <c r="I7" i="7" s="1"/>
  <c r="F11" i="7"/>
  <c r="H11" i="7" s="1"/>
  <c r="I11" i="7" s="1"/>
  <c r="F24" i="7"/>
  <c r="H24" i="7" s="1"/>
  <c r="I24" i="7" s="1"/>
  <c r="G41" i="7"/>
  <c r="F5" i="7"/>
  <c r="H5" i="7" s="1"/>
  <c r="I5" i="7" s="1"/>
  <c r="F10" i="7"/>
  <c r="H10" i="7" s="1"/>
  <c r="I10" i="7" s="1"/>
  <c r="F14" i="7"/>
  <c r="H14" i="7" s="1"/>
  <c r="I14" i="7" s="1"/>
  <c r="H16" i="7"/>
  <c r="I16" i="7" s="1"/>
  <c r="G22" i="7"/>
  <c r="H22" i="7" s="1"/>
  <c r="I22" i="7" s="1"/>
  <c r="G29" i="7"/>
  <c r="H6" i="7"/>
  <c r="I6" i="7" s="1"/>
  <c r="H12" i="7"/>
  <c r="I12" i="7" s="1"/>
  <c r="F13" i="7"/>
  <c r="H13" i="7" s="1"/>
  <c r="I13" i="7" s="1"/>
  <c r="H18" i="7"/>
  <c r="I18" i="7" s="1"/>
  <c r="G25" i="7"/>
  <c r="F32" i="7"/>
  <c r="F34" i="7"/>
  <c r="F36" i="7"/>
  <c r="F38" i="7"/>
  <c r="F40" i="7"/>
  <c r="F42" i="7"/>
  <c r="F44" i="7"/>
  <c r="G17" i="7"/>
  <c r="F17" i="7"/>
  <c r="G21" i="7"/>
  <c r="F21" i="7"/>
  <c r="A26" i="7"/>
  <c r="D25" i="7"/>
  <c r="H25" i="7" s="1"/>
  <c r="I25" i="7" s="1"/>
  <c r="G27" i="7"/>
  <c r="F27" i="7"/>
  <c r="G15" i="7"/>
  <c r="F15" i="7"/>
  <c r="G19" i="7"/>
  <c r="F19" i="7"/>
  <c r="G23" i="7"/>
  <c r="F23" i="7"/>
  <c r="G31" i="7"/>
  <c r="F31" i="7"/>
  <c r="G35" i="7"/>
  <c r="F35" i="7"/>
  <c r="G39" i="7"/>
  <c r="F39" i="7"/>
  <c r="F43" i="7"/>
  <c r="H60" i="6"/>
  <c r="I60" i="6" s="1"/>
  <c r="H44" i="6"/>
  <c r="I44" i="6" s="1"/>
  <c r="H58" i="6"/>
  <c r="I58" i="6" s="1"/>
  <c r="G60" i="6"/>
  <c r="G58" i="6"/>
  <c r="G56" i="6"/>
  <c r="H56" i="6" s="1"/>
  <c r="I56" i="6" s="1"/>
  <c r="G54" i="6"/>
  <c r="H54" i="6" s="1"/>
  <c r="I54" i="6" s="1"/>
  <c r="G52" i="6"/>
  <c r="H52" i="6" s="1"/>
  <c r="I52" i="6" s="1"/>
  <c r="G50" i="6"/>
  <c r="H50" i="6" s="1"/>
  <c r="I50" i="6" s="1"/>
  <c r="G48" i="6"/>
  <c r="H48" i="6" s="1"/>
  <c r="I48" i="6" s="1"/>
  <c r="G46" i="6"/>
  <c r="H46" i="6" s="1"/>
  <c r="I46" i="6" s="1"/>
  <c r="G44" i="6"/>
  <c r="E39" i="6"/>
  <c r="F39" i="6" s="1"/>
  <c r="E40" i="6"/>
  <c r="F40" i="6" s="1"/>
  <c r="E41" i="6"/>
  <c r="G41" i="6" s="1"/>
  <c r="E42" i="6"/>
  <c r="F42" i="6" s="1"/>
  <c r="E24" i="6"/>
  <c r="F24" i="6" s="1"/>
  <c r="E25" i="6"/>
  <c r="F25" i="6" s="1"/>
  <c r="G25" i="6"/>
  <c r="E26" i="6"/>
  <c r="G26" i="6" s="1"/>
  <c r="E27" i="6"/>
  <c r="F27" i="6" s="1"/>
  <c r="E28" i="6"/>
  <c r="F28" i="6"/>
  <c r="G28" i="6"/>
  <c r="E29" i="6"/>
  <c r="F29" i="6" s="1"/>
  <c r="E30" i="6"/>
  <c r="G30" i="6" s="1"/>
  <c r="E31" i="6"/>
  <c r="F31" i="6" s="1"/>
  <c r="E32" i="6"/>
  <c r="F32" i="6" s="1"/>
  <c r="E33" i="6"/>
  <c r="F33" i="6" s="1"/>
  <c r="E34" i="6"/>
  <c r="G34" i="6" s="1"/>
  <c r="E35" i="6"/>
  <c r="F35" i="6" s="1"/>
  <c r="E36" i="6"/>
  <c r="F36" i="6" s="1"/>
  <c r="E37" i="6"/>
  <c r="F37" i="6" s="1"/>
  <c r="E38" i="6"/>
  <c r="G38" i="6" s="1"/>
  <c r="A24" i="6"/>
  <c r="D21" i="6"/>
  <c r="E21" i="6"/>
  <c r="F21" i="6" s="1"/>
  <c r="D22" i="6"/>
  <c r="E22" i="6"/>
  <c r="G22" i="6" s="1"/>
  <c r="D23" i="6"/>
  <c r="E23" i="6"/>
  <c r="F23" i="6" s="1"/>
  <c r="E20" i="6"/>
  <c r="G20" i="6" s="1"/>
  <c r="D20" i="6"/>
  <c r="E19" i="6"/>
  <c r="G19" i="6" s="1"/>
  <c r="D19" i="6"/>
  <c r="E18" i="6"/>
  <c r="G18" i="6" s="1"/>
  <c r="F18" i="6"/>
  <c r="D18" i="6"/>
  <c r="E17" i="6"/>
  <c r="G17" i="6"/>
  <c r="D17" i="6"/>
  <c r="E16" i="6"/>
  <c r="G16" i="6" s="1"/>
  <c r="D16" i="6"/>
  <c r="E15" i="6"/>
  <c r="G15" i="6" s="1"/>
  <c r="D15" i="6"/>
  <c r="E14" i="6"/>
  <c r="F14" i="6" s="1"/>
  <c r="D14" i="6"/>
  <c r="E13" i="6"/>
  <c r="G13" i="6" s="1"/>
  <c r="D13" i="6"/>
  <c r="E12" i="6"/>
  <c r="G12" i="6" s="1"/>
  <c r="D12" i="6"/>
  <c r="E11" i="6"/>
  <c r="G11" i="6" s="1"/>
  <c r="D11" i="6"/>
  <c r="E10" i="6"/>
  <c r="F10" i="6" s="1"/>
  <c r="D10" i="6"/>
  <c r="E9" i="6"/>
  <c r="G9" i="6" s="1"/>
  <c r="D9" i="6"/>
  <c r="E8" i="6"/>
  <c r="G8" i="6"/>
  <c r="D8" i="6"/>
  <c r="E7" i="6"/>
  <c r="G7" i="6" s="1"/>
  <c r="D7" i="6"/>
  <c r="E6" i="6"/>
  <c r="F6" i="6" s="1"/>
  <c r="D6" i="6"/>
  <c r="E5" i="6"/>
  <c r="G5" i="6" s="1"/>
  <c r="D5" i="6"/>
  <c r="F8" i="6"/>
  <c r="H8" i="6" s="1"/>
  <c r="I8" i="6" s="1"/>
  <c r="F16" i="6"/>
  <c r="H16" i="6" s="1"/>
  <c r="I16" i="6" s="1"/>
  <c r="G23" i="6"/>
  <c r="F17" i="6"/>
  <c r="F19" i="6"/>
  <c r="H19" i="6" s="1"/>
  <c r="I19" i="6" s="1"/>
  <c r="H23" i="7" l="1"/>
  <c r="I23" i="7" s="1"/>
  <c r="H15" i="7"/>
  <c r="I15" i="7" s="1"/>
  <c r="H19" i="7"/>
  <c r="I19" i="7" s="1"/>
  <c r="J14" i="7"/>
  <c r="H17" i="7"/>
  <c r="I17" i="7" s="1"/>
  <c r="A27" i="7"/>
  <c r="D26" i="7"/>
  <c r="H26" i="7" s="1"/>
  <c r="I26" i="7" s="1"/>
  <c r="H21" i="7"/>
  <c r="I21" i="7" s="1"/>
  <c r="H23" i="6"/>
  <c r="I23" i="6" s="1"/>
  <c r="F7" i="6"/>
  <c r="F5" i="6"/>
  <c r="H5" i="6" s="1"/>
  <c r="I5" i="6" s="1"/>
  <c r="G21" i="6"/>
  <c r="H21" i="6" s="1"/>
  <c r="I21" i="6" s="1"/>
  <c r="G32" i="6"/>
  <c r="G36" i="6"/>
  <c r="G29" i="6"/>
  <c r="G39" i="6"/>
  <c r="H17" i="6"/>
  <c r="I17" i="6" s="1"/>
  <c r="H7" i="6"/>
  <c r="I7" i="6" s="1"/>
  <c r="G33" i="6"/>
  <c r="G24" i="6"/>
  <c r="H18" i="6"/>
  <c r="I18" i="6" s="1"/>
  <c r="G6" i="6"/>
  <c r="H6" i="6" s="1"/>
  <c r="I6" i="6" s="1"/>
  <c r="F13" i="6"/>
  <c r="H13" i="6" s="1"/>
  <c r="I13" i="6" s="1"/>
  <c r="F20" i="6"/>
  <c r="H20" i="6" s="1"/>
  <c r="I20" i="6" s="1"/>
  <c r="F12" i="6"/>
  <c r="H12" i="6" s="1"/>
  <c r="I12" i="6" s="1"/>
  <c r="G37" i="6"/>
  <c r="G40" i="6"/>
  <c r="G14" i="6"/>
  <c r="H14" i="6" s="1"/>
  <c r="I14" i="6" s="1"/>
  <c r="F9" i="6"/>
  <c r="H9" i="6" s="1"/>
  <c r="I9" i="6" s="1"/>
  <c r="F15" i="6"/>
  <c r="H15" i="6" s="1"/>
  <c r="I15" i="6" s="1"/>
  <c r="F11" i="6"/>
  <c r="H11" i="6" s="1"/>
  <c r="I11" i="6" s="1"/>
  <c r="G10" i="6"/>
  <c r="H10" i="6" s="1"/>
  <c r="I10" i="6" s="1"/>
  <c r="F22" i="6"/>
  <c r="H22" i="6" s="1"/>
  <c r="I22" i="6" s="1"/>
  <c r="F38" i="6"/>
  <c r="G35" i="6"/>
  <c r="F34" i="6"/>
  <c r="G31" i="6"/>
  <c r="F30" i="6"/>
  <c r="G27" i="6"/>
  <c r="F26" i="6"/>
  <c r="G42" i="6"/>
  <c r="F41" i="6"/>
  <c r="D24" i="6"/>
  <c r="H24" i="6" s="1"/>
  <c r="I24" i="6" s="1"/>
  <c r="A25" i="6"/>
  <c r="D27" i="7" l="1"/>
  <c r="H27" i="7" s="1"/>
  <c r="I27" i="7" s="1"/>
  <c r="A28" i="7"/>
  <c r="J14" i="6"/>
  <c r="D25" i="6"/>
  <c r="H25" i="6" s="1"/>
  <c r="I25" i="6" s="1"/>
  <c r="A26" i="6"/>
  <c r="D28" i="7" l="1"/>
  <c r="H28" i="7" s="1"/>
  <c r="I28" i="7" s="1"/>
  <c r="A29" i="7"/>
  <c r="A27" i="6"/>
  <c r="D26" i="6"/>
  <c r="H26" i="6" s="1"/>
  <c r="I26" i="6" s="1"/>
  <c r="A30" i="7" l="1"/>
  <c r="D29" i="7"/>
  <c r="H29" i="7" s="1"/>
  <c r="I29" i="7" s="1"/>
  <c r="A28" i="6"/>
  <c r="D27" i="6"/>
  <c r="H27" i="6" s="1"/>
  <c r="I27" i="6" s="1"/>
  <c r="A31" i="7" l="1"/>
  <c r="D30" i="7"/>
  <c r="H30" i="7" s="1"/>
  <c r="I30" i="7" s="1"/>
  <c r="A29" i="6"/>
  <c r="D28" i="6"/>
  <c r="H28" i="6" s="1"/>
  <c r="I28" i="6" s="1"/>
  <c r="D31" i="7" l="1"/>
  <c r="H31" i="7" s="1"/>
  <c r="I31" i="7" s="1"/>
  <c r="A32" i="7"/>
  <c r="A30" i="6"/>
  <c r="D29" i="6"/>
  <c r="H29" i="6" s="1"/>
  <c r="I29" i="6" s="1"/>
  <c r="D32" i="7" l="1"/>
  <c r="H32" i="7" s="1"/>
  <c r="I32" i="7" s="1"/>
  <c r="A33" i="7"/>
  <c r="A31" i="6"/>
  <c r="D30" i="6"/>
  <c r="H30" i="6" s="1"/>
  <c r="I30" i="6" s="1"/>
  <c r="A34" i="7" l="1"/>
  <c r="D33" i="7"/>
  <c r="H33" i="7" s="1"/>
  <c r="I33" i="7" s="1"/>
  <c r="A32" i="6"/>
  <c r="D31" i="6"/>
  <c r="H31" i="6" s="1"/>
  <c r="I31" i="6" s="1"/>
  <c r="A35" i="7" l="1"/>
  <c r="D34" i="7"/>
  <c r="H34" i="7" s="1"/>
  <c r="I34" i="7" s="1"/>
  <c r="A33" i="6"/>
  <c r="D32" i="6"/>
  <c r="H32" i="6" s="1"/>
  <c r="I32" i="6" s="1"/>
  <c r="D35" i="7" l="1"/>
  <c r="H35" i="7" s="1"/>
  <c r="I35" i="7" s="1"/>
  <c r="A36" i="7"/>
  <c r="A34" i="6"/>
  <c r="D33" i="6"/>
  <c r="H33" i="6" s="1"/>
  <c r="I33" i="6" s="1"/>
  <c r="D36" i="7" l="1"/>
  <c r="H36" i="7" s="1"/>
  <c r="I36" i="7" s="1"/>
  <c r="A37" i="7"/>
  <c r="A35" i="6"/>
  <c r="D34" i="6"/>
  <c r="H34" i="6" s="1"/>
  <c r="I34" i="6" s="1"/>
  <c r="A38" i="7" l="1"/>
  <c r="D37" i="7"/>
  <c r="H37" i="7" s="1"/>
  <c r="I37" i="7" s="1"/>
  <c r="A36" i="6"/>
  <c r="D35" i="6"/>
  <c r="H35" i="6" s="1"/>
  <c r="I35" i="6" s="1"/>
  <c r="A39" i="7" l="1"/>
  <c r="D38" i="7"/>
  <c r="H38" i="7" s="1"/>
  <c r="I38" i="7" s="1"/>
  <c r="A37" i="6"/>
  <c r="D36" i="6"/>
  <c r="H36" i="6" s="1"/>
  <c r="I36" i="6" s="1"/>
  <c r="D39" i="7" l="1"/>
  <c r="H39" i="7" s="1"/>
  <c r="I39" i="7" s="1"/>
  <c r="A40" i="7"/>
  <c r="A38" i="6"/>
  <c r="D37" i="6"/>
  <c r="H37" i="6" s="1"/>
  <c r="I37" i="6" s="1"/>
  <c r="D40" i="7" l="1"/>
  <c r="H40" i="7" s="1"/>
  <c r="I40" i="7" s="1"/>
  <c r="A41" i="7"/>
  <c r="D38" i="6"/>
  <c r="H38" i="6" s="1"/>
  <c r="I38" i="6" s="1"/>
  <c r="A39" i="6"/>
  <c r="A42" i="7" l="1"/>
  <c r="D41" i="7"/>
  <c r="H41" i="7" s="1"/>
  <c r="I41" i="7" s="1"/>
  <c r="D39" i="6"/>
  <c r="H39" i="6" s="1"/>
  <c r="I39" i="6" s="1"/>
  <c r="A40" i="6"/>
  <c r="A43" i="7" l="1"/>
  <c r="D42" i="7"/>
  <c r="H42" i="7" s="1"/>
  <c r="I42" i="7" s="1"/>
  <c r="D40" i="6"/>
  <c r="H40" i="6" s="1"/>
  <c r="I40" i="6" s="1"/>
  <c r="A41" i="6"/>
  <c r="D43" i="7" l="1"/>
  <c r="H43" i="7" s="1"/>
  <c r="I43" i="7" s="1"/>
  <c r="A44" i="7"/>
  <c r="D41" i="6"/>
  <c r="H41" i="6" s="1"/>
  <c r="I41" i="6" s="1"/>
  <c r="A42" i="6"/>
  <c r="D42" i="6" s="1"/>
  <c r="H42" i="6" s="1"/>
  <c r="I42" i="6" s="1"/>
  <c r="D44" i="7" l="1"/>
  <c r="H44" i="7" s="1"/>
  <c r="I44" i="7" s="1"/>
  <c r="A45" i="7"/>
  <c r="D45" i="7" l="1"/>
  <c r="H45" i="7" s="1"/>
  <c r="I45" i="7" s="1"/>
</calcChain>
</file>

<file path=xl/sharedStrings.xml><?xml version="1.0" encoding="utf-8"?>
<sst xmlns="http://schemas.openxmlformats.org/spreadsheetml/2006/main" count="22" uniqueCount="10">
  <si>
    <t>Z(m)</t>
  </si>
  <si>
    <t>N(20)</t>
  </si>
  <si>
    <t>F</t>
  </si>
  <si>
    <t>a</t>
  </si>
  <si>
    <t>e</t>
  </si>
  <si>
    <t>n</t>
  </si>
  <si>
    <t>c</t>
  </si>
  <si>
    <t>Presion Característica</t>
  </si>
  <si>
    <t>kg/cm2</t>
  </si>
  <si>
    <t>Presión Admisible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</si>
</sst>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(#,##0.00\)"/>
  </numFmts>
  <fonts count="4" x14ac:knownFonts="1">
    <font>
      <sz val="12"/>
      <name val="Helv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164" fontId="0" fillId="0" borderId="0"/>
    <xf numFmtId="0" fontId="3" fillId="0" borderId="0"/>
  </cellStyleXfs>
  <cellXfs count="10">
    <xf numFmtId="164" fontId="0" fillId="0" borderId="0" xfId="0"/>
    <xf numFmtId="164" fontId="1" fillId="0" borderId="0" xfId="0" applyFont="1" applyAlignment="1">
      <alignment horizontal="center" vertical="center"/>
    </xf>
    <xf numFmtId="164" fontId="1" fillId="0" borderId="0" xfId="0" applyFont="1" applyAlignment="1">
      <alignment horizontal="center"/>
    </xf>
    <xf numFmtId="164" fontId="1" fillId="0" borderId="0" xfId="0" applyFont="1"/>
    <xf numFmtId="164" fontId="2" fillId="0" borderId="0" xfId="0" applyFont="1" applyAlignment="1">
      <alignment horizontal="center" vertical="center"/>
    </xf>
    <xf numFmtId="164" fontId="2" fillId="0" borderId="0" xfId="0" applyFont="1" applyAlignment="1">
      <alignment horizontal="center"/>
    </xf>
    <xf numFmtId="164" fontId="1" fillId="0" borderId="1" xfId="0" applyFont="1" applyBorder="1" applyAlignment="1">
      <alignment horizontal="center" vertical="center"/>
    </xf>
    <xf numFmtId="164" fontId="1" fillId="0" borderId="1" xfId="0" applyFont="1" applyBorder="1" applyAlignment="1">
      <alignment horizontal="center"/>
    </xf>
    <xf numFmtId="164" fontId="2" fillId="2" borderId="1" xfId="0" applyFont="1" applyFill="1" applyBorder="1" applyAlignment="1">
      <alignment horizontal="center" vertical="center"/>
    </xf>
    <xf numFmtId="164" fontId="2" fillId="2" borderId="1" xfId="0" applyFont="1" applyFill="1" applyBorder="1" applyAlignment="1">
      <alignment horizontal="center" vertical="center" wrapText="1" shrinkToFit="1"/>
    </xf>
  </cellXfs>
  <cellStyles count="2">
    <cellStyle name="Normal" xfId="0" builtinId="0"/>
    <cellStyle name="Normal 2" xfId="1" xr:uid="{C8BB50DA-BC2E-4279-A102-B646788D87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BBBEA-F486-4F5B-B149-F9853A68A4D2}">
  <dimension ref="A3:J60"/>
  <sheetViews>
    <sheetView showGridLines="0" topLeftCell="A48" workbookViewId="0">
      <selection activeCell="C39" sqref="C39:C60"/>
    </sheetView>
  </sheetViews>
  <sheetFormatPr baseColWidth="10" defaultRowHeight="15.75" x14ac:dyDescent="0.25"/>
  <cols>
    <col min="1" max="6" width="11.5546875" style="1"/>
    <col min="7" max="7" width="11.5546875" style="2"/>
    <col min="8" max="9" width="11.5546875" style="1"/>
    <col min="10" max="16384" width="11.5546875" style="3"/>
  </cols>
  <sheetData>
    <row r="3" spans="1:10" ht="31.5" x14ac:dyDescent="0.25">
      <c r="A3" s="4"/>
      <c r="B3" s="4"/>
      <c r="C3" s="4"/>
      <c r="D3" s="4"/>
      <c r="E3" s="4"/>
      <c r="F3" s="4"/>
      <c r="G3" s="5"/>
      <c r="H3" s="9" t="s">
        <v>7</v>
      </c>
      <c r="I3" s="9" t="s">
        <v>9</v>
      </c>
    </row>
    <row r="4" spans="1:10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8</v>
      </c>
      <c r="I4" s="8" t="s">
        <v>8</v>
      </c>
    </row>
    <row r="5" spans="1:10" x14ac:dyDescent="0.25">
      <c r="A5" s="6">
        <v>0.2</v>
      </c>
      <c r="B5" s="6">
        <v>4</v>
      </c>
      <c r="C5" s="6">
        <v>50</v>
      </c>
      <c r="D5" s="6">
        <f>A5/10+0.25</f>
        <v>0.27</v>
      </c>
      <c r="E5" s="6">
        <f>20/B5</f>
        <v>5</v>
      </c>
      <c r="F5" s="6">
        <f>0.7-0.7/19*(E5-1)</f>
        <v>0.55263157894736836</v>
      </c>
      <c r="G5" s="7">
        <f>0.5-0.5/19*(E5-1)</f>
        <v>0.39473684210526316</v>
      </c>
      <c r="H5" s="6">
        <f>63.5*76*(1+F5^2*D5)/((E5+G5)*(1+D5)*20)</f>
        <v>38.12365853658536</v>
      </c>
      <c r="I5" s="6">
        <f>H5/C5</f>
        <v>0.76247317073170717</v>
      </c>
    </row>
    <row r="6" spans="1:10" x14ac:dyDescent="0.25">
      <c r="A6" s="6">
        <v>0.4</v>
      </c>
      <c r="B6" s="6">
        <v>6</v>
      </c>
      <c r="C6" s="6">
        <v>50</v>
      </c>
      <c r="D6" s="6">
        <f t="shared" ref="D6:D20" si="0">A6/10+0.25</f>
        <v>0.28999999999999998</v>
      </c>
      <c r="E6" s="6">
        <f t="shared" ref="E6:E20" si="1">20/B6</f>
        <v>3.3333333333333335</v>
      </c>
      <c r="F6" s="6">
        <f t="shared" ref="F6:F20" si="2">0.7-0.7/19*(E6-1)</f>
        <v>0.61403508771929816</v>
      </c>
      <c r="G6" s="7">
        <f t="shared" ref="G6:G20" si="3">0.5-0.5/19*(E6-1)</f>
        <v>0.43859649122807015</v>
      </c>
      <c r="H6" s="6">
        <f t="shared" ref="H6:H20" si="4">63.5*76*(1+F6^2*D6)/((E6+G6)*(1+D6)*20)</f>
        <v>55.013490775794722</v>
      </c>
      <c r="I6" s="6">
        <f t="shared" ref="I6:I20" si="5">H6/C6</f>
        <v>1.1002698155158945</v>
      </c>
    </row>
    <row r="7" spans="1:10" x14ac:dyDescent="0.25">
      <c r="A7" s="6">
        <v>0.6</v>
      </c>
      <c r="B7" s="6">
        <v>5</v>
      </c>
      <c r="C7" s="6">
        <v>50</v>
      </c>
      <c r="D7" s="6">
        <f t="shared" si="0"/>
        <v>0.31</v>
      </c>
      <c r="E7" s="6">
        <f t="shared" si="1"/>
        <v>4</v>
      </c>
      <c r="F7" s="6">
        <f t="shared" si="2"/>
        <v>0.58947368421052626</v>
      </c>
      <c r="G7" s="7">
        <f t="shared" si="3"/>
        <v>0.42105263157894735</v>
      </c>
      <c r="H7" s="6">
        <f t="shared" si="4"/>
        <v>46.151920029080337</v>
      </c>
      <c r="I7" s="6">
        <f t="shared" si="5"/>
        <v>0.92303840058160669</v>
      </c>
    </row>
    <row r="8" spans="1:10" x14ac:dyDescent="0.25">
      <c r="A8" s="6">
        <v>0.8</v>
      </c>
      <c r="B8" s="6">
        <v>5</v>
      </c>
      <c r="C8" s="6">
        <v>50</v>
      </c>
      <c r="D8" s="6">
        <f t="shared" si="0"/>
        <v>0.33</v>
      </c>
      <c r="E8" s="6">
        <f t="shared" si="1"/>
        <v>4</v>
      </c>
      <c r="F8" s="6">
        <f t="shared" si="2"/>
        <v>0.58947368421052626</v>
      </c>
      <c r="G8" s="7">
        <f t="shared" si="3"/>
        <v>0.42105263157894735</v>
      </c>
      <c r="H8" s="6">
        <f t="shared" si="4"/>
        <v>45.743099176512715</v>
      </c>
      <c r="I8" s="6">
        <f t="shared" si="5"/>
        <v>0.91486198353025427</v>
      </c>
    </row>
    <row r="9" spans="1:10" x14ac:dyDescent="0.25">
      <c r="A9" s="6">
        <v>1</v>
      </c>
      <c r="B9" s="6">
        <v>6</v>
      </c>
      <c r="C9" s="6">
        <v>50</v>
      </c>
      <c r="D9" s="6">
        <f t="shared" si="0"/>
        <v>0.35</v>
      </c>
      <c r="E9" s="6">
        <f t="shared" si="1"/>
        <v>3.3333333333333335</v>
      </c>
      <c r="F9" s="6">
        <f t="shared" si="2"/>
        <v>0.61403508771929816</v>
      </c>
      <c r="G9" s="7">
        <f t="shared" si="3"/>
        <v>0.43859649122807015</v>
      </c>
      <c r="H9" s="6">
        <f t="shared" si="4"/>
        <v>53.640453631926484</v>
      </c>
      <c r="I9" s="6">
        <f t="shared" si="5"/>
        <v>1.0728090726385298</v>
      </c>
    </row>
    <row r="10" spans="1:10" x14ac:dyDescent="0.25">
      <c r="A10" s="6">
        <v>1.2</v>
      </c>
      <c r="B10" s="6">
        <v>5</v>
      </c>
      <c r="C10" s="6">
        <v>50</v>
      </c>
      <c r="D10" s="6">
        <f t="shared" si="0"/>
        <v>0.37</v>
      </c>
      <c r="E10" s="6">
        <f t="shared" si="1"/>
        <v>4</v>
      </c>
      <c r="F10" s="6">
        <f t="shared" si="2"/>
        <v>0.58947368421052626</v>
      </c>
      <c r="G10" s="7">
        <f t="shared" si="3"/>
        <v>0.42105263157894735</v>
      </c>
      <c r="H10" s="6">
        <f t="shared" si="4"/>
        <v>44.961266597149809</v>
      </c>
      <c r="I10" s="6">
        <f t="shared" si="5"/>
        <v>0.89922533194299614</v>
      </c>
    </row>
    <row r="11" spans="1:10" ht="15.75" customHeight="1" x14ac:dyDescent="0.25">
      <c r="A11" s="6">
        <v>1.4</v>
      </c>
      <c r="B11" s="6">
        <v>6</v>
      </c>
      <c r="C11" s="6">
        <v>50</v>
      </c>
      <c r="D11" s="6">
        <f t="shared" si="0"/>
        <v>0.39</v>
      </c>
      <c r="E11" s="6">
        <f t="shared" si="1"/>
        <v>3.3333333333333335</v>
      </c>
      <c r="F11" s="6">
        <f t="shared" si="2"/>
        <v>0.61403508771929816</v>
      </c>
      <c r="G11" s="7">
        <f t="shared" si="3"/>
        <v>0.43859649122807015</v>
      </c>
      <c r="H11" s="6">
        <f t="shared" si="4"/>
        <v>52.790948636439673</v>
      </c>
      <c r="I11" s="6">
        <f t="shared" si="5"/>
        <v>1.0558189727287934</v>
      </c>
    </row>
    <row r="12" spans="1:10" x14ac:dyDescent="0.25">
      <c r="A12" s="6">
        <v>1.6</v>
      </c>
      <c r="B12" s="6">
        <v>5</v>
      </c>
      <c r="C12" s="6">
        <v>50</v>
      </c>
      <c r="D12" s="6">
        <f t="shared" si="0"/>
        <v>0.41000000000000003</v>
      </c>
      <c r="E12" s="6">
        <f t="shared" si="1"/>
        <v>4</v>
      </c>
      <c r="F12" s="6">
        <f t="shared" si="2"/>
        <v>0.58947368421052626</v>
      </c>
      <c r="G12" s="7">
        <f t="shared" si="3"/>
        <v>0.42105263157894735</v>
      </c>
      <c r="H12" s="6">
        <f t="shared" si="4"/>
        <v>44.223793313069912</v>
      </c>
      <c r="I12" s="6">
        <f t="shared" si="5"/>
        <v>0.88447586626139829</v>
      </c>
    </row>
    <row r="13" spans="1:10" x14ac:dyDescent="0.25">
      <c r="A13" s="6">
        <v>1.8</v>
      </c>
      <c r="B13" s="6">
        <v>6</v>
      </c>
      <c r="C13" s="6">
        <v>50</v>
      </c>
      <c r="D13" s="6">
        <f t="shared" si="0"/>
        <v>0.43</v>
      </c>
      <c r="E13" s="6">
        <f t="shared" si="1"/>
        <v>3.3333333333333335</v>
      </c>
      <c r="F13" s="6">
        <f t="shared" si="2"/>
        <v>0.61403508771929816</v>
      </c>
      <c r="G13" s="7">
        <f t="shared" si="3"/>
        <v>0.43859649122807015</v>
      </c>
      <c r="H13" s="6">
        <f t="shared" si="4"/>
        <v>51.988968395945136</v>
      </c>
      <c r="I13" s="6">
        <f t="shared" si="5"/>
        <v>1.0397793679189027</v>
      </c>
    </row>
    <row r="14" spans="1:10" x14ac:dyDescent="0.25">
      <c r="A14" s="6">
        <v>2</v>
      </c>
      <c r="B14" s="6">
        <v>6</v>
      </c>
      <c r="C14" s="6">
        <v>50</v>
      </c>
      <c r="D14" s="6">
        <f t="shared" si="0"/>
        <v>0.45</v>
      </c>
      <c r="E14" s="6">
        <f t="shared" si="1"/>
        <v>3.3333333333333335</v>
      </c>
      <c r="F14" s="6">
        <f t="shared" si="2"/>
        <v>0.61403508771929816</v>
      </c>
      <c r="G14" s="7">
        <f t="shared" si="3"/>
        <v>0.43859649122807015</v>
      </c>
      <c r="H14" s="6">
        <f t="shared" si="4"/>
        <v>51.60457097032878</v>
      </c>
      <c r="I14" s="6">
        <f t="shared" si="5"/>
        <v>1.0320914194065756</v>
      </c>
      <c r="J14" s="3">
        <f>AVERAGE(I14:I24)</f>
        <v>1.0519981332404695</v>
      </c>
    </row>
    <row r="15" spans="1:10" x14ac:dyDescent="0.25">
      <c r="A15" s="6">
        <v>2.2000000000000002</v>
      </c>
      <c r="B15" s="6">
        <v>6</v>
      </c>
      <c r="C15" s="6">
        <v>50</v>
      </c>
      <c r="D15" s="6">
        <f t="shared" si="0"/>
        <v>0.47000000000000003</v>
      </c>
      <c r="E15" s="6">
        <f t="shared" si="1"/>
        <v>3.3333333333333335</v>
      </c>
      <c r="F15" s="6">
        <f t="shared" si="2"/>
        <v>0.61403508771929816</v>
      </c>
      <c r="G15" s="7">
        <f t="shared" si="3"/>
        <v>0.43859649122807015</v>
      </c>
      <c r="H15" s="6">
        <f t="shared" si="4"/>
        <v>51.230633338606758</v>
      </c>
      <c r="I15" s="6">
        <f t="shared" si="5"/>
        <v>1.0246126667721351</v>
      </c>
    </row>
    <row r="16" spans="1:10" x14ac:dyDescent="0.25">
      <c r="A16" s="6">
        <v>2.4</v>
      </c>
      <c r="B16" s="6">
        <v>6</v>
      </c>
      <c r="C16" s="6">
        <v>50</v>
      </c>
      <c r="D16" s="6">
        <f t="shared" si="0"/>
        <v>0.49</v>
      </c>
      <c r="E16" s="6">
        <f t="shared" si="1"/>
        <v>3.3333333333333335</v>
      </c>
      <c r="F16" s="6">
        <f t="shared" si="2"/>
        <v>0.61403508771929816</v>
      </c>
      <c r="G16" s="7">
        <f t="shared" si="3"/>
        <v>0.43859649122807015</v>
      </c>
      <c r="H16" s="6">
        <f t="shared" si="4"/>
        <v>50.86673430102492</v>
      </c>
      <c r="I16" s="6">
        <f t="shared" si="5"/>
        <v>1.0173346860204984</v>
      </c>
    </row>
    <row r="17" spans="1:9" x14ac:dyDescent="0.25">
      <c r="A17" s="6">
        <v>2.6</v>
      </c>
      <c r="B17" s="6">
        <v>7</v>
      </c>
      <c r="C17" s="6">
        <v>50</v>
      </c>
      <c r="D17" s="6">
        <f t="shared" si="0"/>
        <v>0.51</v>
      </c>
      <c r="E17" s="6">
        <f t="shared" si="1"/>
        <v>2.8571428571428572</v>
      </c>
      <c r="F17" s="6">
        <f t="shared" si="2"/>
        <v>0.63157894736842102</v>
      </c>
      <c r="G17" s="7">
        <f t="shared" si="3"/>
        <v>0.45112781954887216</v>
      </c>
      <c r="H17" s="6">
        <f t="shared" si="4"/>
        <v>58.130216736905467</v>
      </c>
      <c r="I17" s="6">
        <f t="shared" si="5"/>
        <v>1.1626043347381094</v>
      </c>
    </row>
    <row r="18" spans="1:9" x14ac:dyDescent="0.25">
      <c r="A18" s="6">
        <v>2.8</v>
      </c>
      <c r="B18" s="6">
        <v>6</v>
      </c>
      <c r="C18" s="6">
        <v>50</v>
      </c>
      <c r="D18" s="6">
        <f t="shared" si="0"/>
        <v>0.53</v>
      </c>
      <c r="E18" s="6">
        <f t="shared" si="1"/>
        <v>3.3333333333333335</v>
      </c>
      <c r="F18" s="6">
        <f t="shared" si="2"/>
        <v>0.61403508771929816</v>
      </c>
      <c r="G18" s="7">
        <f t="shared" si="3"/>
        <v>0.43859649122807015</v>
      </c>
      <c r="H18" s="6">
        <f t="shared" si="4"/>
        <v>50.167477326848051</v>
      </c>
      <c r="I18" s="6">
        <f t="shared" si="5"/>
        <v>1.0033495465369611</v>
      </c>
    </row>
    <row r="19" spans="1:9" x14ac:dyDescent="0.25">
      <c r="A19" s="6">
        <v>3</v>
      </c>
      <c r="B19" s="6">
        <v>6</v>
      </c>
      <c r="C19" s="6">
        <v>50</v>
      </c>
      <c r="D19" s="6">
        <f t="shared" si="0"/>
        <v>0.55000000000000004</v>
      </c>
      <c r="E19" s="6">
        <f t="shared" si="1"/>
        <v>3.3333333333333335</v>
      </c>
      <c r="F19" s="6">
        <f t="shared" si="2"/>
        <v>0.61403508771929816</v>
      </c>
      <c r="G19" s="7">
        <f t="shared" si="3"/>
        <v>0.43859649122807015</v>
      </c>
      <c r="H19" s="6">
        <f t="shared" si="4"/>
        <v>49.831382845711431</v>
      </c>
      <c r="I19" s="6">
        <f t="shared" si="5"/>
        <v>0.99662765691422861</v>
      </c>
    </row>
    <row r="20" spans="1:9" x14ac:dyDescent="0.25">
      <c r="A20" s="6">
        <v>3.2</v>
      </c>
      <c r="B20" s="6">
        <v>7</v>
      </c>
      <c r="C20" s="6">
        <v>50</v>
      </c>
      <c r="D20" s="6">
        <f t="shared" si="0"/>
        <v>0.57000000000000006</v>
      </c>
      <c r="E20" s="6">
        <f t="shared" si="1"/>
        <v>2.8571428571428572</v>
      </c>
      <c r="F20" s="6">
        <f t="shared" si="2"/>
        <v>0.63157894736842102</v>
      </c>
      <c r="G20" s="7">
        <f t="shared" si="3"/>
        <v>0.45112781954887216</v>
      </c>
      <c r="H20" s="6">
        <f t="shared" si="4"/>
        <v>57.020573248407644</v>
      </c>
      <c r="I20" s="6">
        <f t="shared" si="5"/>
        <v>1.1404114649681529</v>
      </c>
    </row>
    <row r="21" spans="1:9" x14ac:dyDescent="0.25">
      <c r="A21" s="6">
        <v>3.4</v>
      </c>
      <c r="B21" s="6">
        <v>6</v>
      </c>
      <c r="C21" s="6">
        <v>50</v>
      </c>
      <c r="D21" s="6">
        <f>A21/10+0.25</f>
        <v>0.59</v>
      </c>
      <c r="E21" s="6">
        <f>20/B21</f>
        <v>3.3333333333333335</v>
      </c>
      <c r="F21" s="6">
        <f>0.7-0.7/19*(E21-1)</f>
        <v>0.61403508771929816</v>
      </c>
      <c r="G21" s="7">
        <f>0.5-0.5/19*(E21-1)</f>
        <v>0.43859649122807015</v>
      </c>
      <c r="H21" s="6">
        <f>63.5*76*(1+F21^2*D21)/((E21+G21)*(1+D21)*20)</f>
        <v>49.184559504656036</v>
      </c>
      <c r="I21" s="6">
        <f>H21/C21</f>
        <v>0.98369119009312067</v>
      </c>
    </row>
    <row r="22" spans="1:9" x14ac:dyDescent="0.25">
      <c r="A22" s="6">
        <v>3.6</v>
      </c>
      <c r="B22" s="6">
        <v>7</v>
      </c>
      <c r="C22" s="6">
        <v>50</v>
      </c>
      <c r="D22" s="6">
        <f>A22/10+0.25</f>
        <v>0.61</v>
      </c>
      <c r="E22" s="6">
        <f>20/B22</f>
        <v>2.8571428571428572</v>
      </c>
      <c r="F22" s="6">
        <f>0.7-0.7/19*(E22-1)</f>
        <v>0.63157894736842102</v>
      </c>
      <c r="G22" s="7">
        <f>0.5-0.5/19*(E22-1)</f>
        <v>0.45112781954887216</v>
      </c>
      <c r="H22" s="6">
        <f>63.5*76*(1+F22^2*D22)/((E22+G22)*(1+D22)*20)</f>
        <v>56.32675889328064</v>
      </c>
      <c r="I22" s="6">
        <f>H22/C22</f>
        <v>1.1265351778656127</v>
      </c>
    </row>
    <row r="23" spans="1:9" x14ac:dyDescent="0.25">
      <c r="A23" s="6">
        <v>3.8</v>
      </c>
      <c r="B23" s="6">
        <v>6</v>
      </c>
      <c r="C23" s="6">
        <v>50</v>
      </c>
      <c r="D23" s="6">
        <f>A23/10+0.25</f>
        <v>0.63</v>
      </c>
      <c r="E23" s="6">
        <f>20/B23</f>
        <v>3.3333333333333335</v>
      </c>
      <c r="F23" s="6">
        <f>0.7-0.7/19*(E23-1)</f>
        <v>0.61403508771929816</v>
      </c>
      <c r="G23" s="7">
        <f>0.5-0.5/19*(E23-1)</f>
        <v>0.43859649122807015</v>
      </c>
      <c r="H23" s="6">
        <f>63.5*76*(1+F23^2*D23)/((E23+G23)*(1+D23)*20)</f>
        <v>48.569482094449995</v>
      </c>
      <c r="I23" s="6">
        <f>H23/C23</f>
        <v>0.9713896418889999</v>
      </c>
    </row>
    <row r="24" spans="1:9" x14ac:dyDescent="0.25">
      <c r="A24" s="6">
        <f>A23+0.2</f>
        <v>4</v>
      </c>
      <c r="B24" s="6">
        <v>7</v>
      </c>
      <c r="C24" s="6">
        <v>50</v>
      </c>
      <c r="D24" s="6">
        <f t="shared" ref="D24:D34" si="6">A24/10+0.25</f>
        <v>0.65</v>
      </c>
      <c r="E24" s="6">
        <f t="shared" ref="E24:E38" si="7">20/B24</f>
        <v>2.8571428571428572</v>
      </c>
      <c r="F24" s="6">
        <f t="shared" ref="F24:F38" si="8">0.7-0.7/19*(E24-1)</f>
        <v>0.63157894736842102</v>
      </c>
      <c r="G24" s="7">
        <f t="shared" ref="G24:G38" si="9">0.5-0.5/19*(E24-1)</f>
        <v>0.45112781954887216</v>
      </c>
      <c r="H24" s="6">
        <f t="shared" ref="H24:H38" si="10">63.5*76*(1+F24^2*D24)/((E24+G24)*(1+D24)*20)</f>
        <v>55.666584022038563</v>
      </c>
      <c r="I24" s="6">
        <f t="shared" ref="I24:I38" si="11">H24/C24</f>
        <v>1.1133316804407714</v>
      </c>
    </row>
    <row r="25" spans="1:9" x14ac:dyDescent="0.25">
      <c r="A25" s="6">
        <f t="shared" ref="A25:A41" si="12">A24+0.2</f>
        <v>4.2</v>
      </c>
      <c r="B25" s="6">
        <v>7</v>
      </c>
      <c r="C25" s="6">
        <v>50</v>
      </c>
      <c r="D25" s="6">
        <f t="shared" si="6"/>
        <v>0.67</v>
      </c>
      <c r="E25" s="6">
        <f t="shared" si="7"/>
        <v>2.8571428571428572</v>
      </c>
      <c r="F25" s="6">
        <f t="shared" si="8"/>
        <v>0.63157894736842102</v>
      </c>
      <c r="G25" s="7">
        <f t="shared" si="9"/>
        <v>0.45112781954887216</v>
      </c>
      <c r="H25" s="6">
        <f t="shared" si="10"/>
        <v>55.348356015242231</v>
      </c>
      <c r="I25" s="6">
        <f t="shared" si="11"/>
        <v>1.1069671203048446</v>
      </c>
    </row>
    <row r="26" spans="1:9" x14ac:dyDescent="0.25">
      <c r="A26" s="6">
        <f t="shared" si="12"/>
        <v>4.4000000000000004</v>
      </c>
      <c r="B26" s="6">
        <v>8</v>
      </c>
      <c r="C26" s="6">
        <v>50</v>
      </c>
      <c r="D26" s="6">
        <f t="shared" si="6"/>
        <v>0.69000000000000006</v>
      </c>
      <c r="E26" s="6">
        <f t="shared" si="7"/>
        <v>2.5</v>
      </c>
      <c r="F26" s="6">
        <f t="shared" si="8"/>
        <v>0.64473684210526316</v>
      </c>
      <c r="G26" s="7">
        <f t="shared" si="9"/>
        <v>0.46052631578947367</v>
      </c>
      <c r="H26" s="6">
        <f t="shared" si="10"/>
        <v>62.061251150558853</v>
      </c>
      <c r="I26" s="6">
        <f t="shared" si="11"/>
        <v>1.241225023011177</v>
      </c>
    </row>
    <row r="27" spans="1:9" x14ac:dyDescent="0.25">
      <c r="A27" s="6">
        <f t="shared" si="12"/>
        <v>4.6000000000000005</v>
      </c>
      <c r="B27" s="6">
        <v>7</v>
      </c>
      <c r="C27" s="6">
        <v>50</v>
      </c>
      <c r="D27" s="6">
        <f t="shared" si="6"/>
        <v>0.71000000000000008</v>
      </c>
      <c r="E27" s="6">
        <f t="shared" si="7"/>
        <v>2.8571428571428572</v>
      </c>
      <c r="F27" s="6">
        <f t="shared" si="8"/>
        <v>0.63157894736842102</v>
      </c>
      <c r="G27" s="7">
        <f t="shared" si="9"/>
        <v>0.45112781954887216</v>
      </c>
      <c r="H27" s="6">
        <f t="shared" si="10"/>
        <v>54.734231791600209</v>
      </c>
      <c r="I27" s="6">
        <f t="shared" si="11"/>
        <v>1.0946846358320041</v>
      </c>
    </row>
    <row r="28" spans="1:9" x14ac:dyDescent="0.25">
      <c r="A28" s="6">
        <f t="shared" si="12"/>
        <v>4.8000000000000007</v>
      </c>
      <c r="B28" s="6">
        <v>11</v>
      </c>
      <c r="C28" s="6">
        <v>50</v>
      </c>
      <c r="D28" s="6">
        <f t="shared" si="6"/>
        <v>0.73000000000000009</v>
      </c>
      <c r="E28" s="6">
        <f t="shared" si="7"/>
        <v>1.8181818181818181</v>
      </c>
      <c r="F28" s="6">
        <f t="shared" si="8"/>
        <v>0.66985645933014348</v>
      </c>
      <c r="G28" s="7">
        <f t="shared" si="9"/>
        <v>0.4784688995215311</v>
      </c>
      <c r="H28" s="6">
        <f t="shared" si="10"/>
        <v>80.624923366614127</v>
      </c>
      <c r="I28" s="6">
        <f t="shared" si="11"/>
        <v>1.6124984673322826</v>
      </c>
    </row>
    <row r="29" spans="1:9" x14ac:dyDescent="0.25">
      <c r="A29" s="6">
        <f t="shared" si="12"/>
        <v>5.0000000000000009</v>
      </c>
      <c r="B29" s="6">
        <v>8</v>
      </c>
      <c r="C29" s="6">
        <v>50</v>
      </c>
      <c r="D29" s="6">
        <f t="shared" si="6"/>
        <v>0.75000000000000011</v>
      </c>
      <c r="E29" s="6">
        <f t="shared" si="7"/>
        <v>2.5</v>
      </c>
      <c r="F29" s="6">
        <f t="shared" si="8"/>
        <v>0.64473684210526316</v>
      </c>
      <c r="G29" s="7">
        <f t="shared" si="9"/>
        <v>0.46052631578947367</v>
      </c>
      <c r="H29" s="6">
        <f t="shared" si="10"/>
        <v>61.095063492063495</v>
      </c>
      <c r="I29" s="6">
        <f t="shared" si="11"/>
        <v>1.2219012698412699</v>
      </c>
    </row>
    <row r="30" spans="1:9" x14ac:dyDescent="0.25">
      <c r="A30" s="6">
        <f t="shared" si="12"/>
        <v>5.2000000000000011</v>
      </c>
      <c r="B30" s="6">
        <v>9</v>
      </c>
      <c r="C30" s="6">
        <v>50</v>
      </c>
      <c r="D30" s="6">
        <f t="shared" si="6"/>
        <v>0.77000000000000013</v>
      </c>
      <c r="E30" s="6">
        <f t="shared" si="7"/>
        <v>2.2222222222222223</v>
      </c>
      <c r="F30" s="6">
        <f t="shared" si="8"/>
        <v>0.65497076023391809</v>
      </c>
      <c r="G30" s="7">
        <f t="shared" si="9"/>
        <v>0.46783625730994149</v>
      </c>
      <c r="H30" s="6">
        <f t="shared" si="10"/>
        <v>67.418389694041863</v>
      </c>
      <c r="I30" s="6">
        <f t="shared" si="11"/>
        <v>1.3483677938808372</v>
      </c>
    </row>
    <row r="31" spans="1:9" x14ac:dyDescent="0.25">
      <c r="A31" s="6">
        <f t="shared" si="12"/>
        <v>5.4000000000000012</v>
      </c>
      <c r="B31" s="6">
        <v>8</v>
      </c>
      <c r="C31" s="6">
        <v>50</v>
      </c>
      <c r="D31" s="6">
        <f t="shared" si="6"/>
        <v>0.79000000000000015</v>
      </c>
      <c r="E31" s="6">
        <f t="shared" si="7"/>
        <v>2.5</v>
      </c>
      <c r="F31" s="6">
        <f t="shared" si="8"/>
        <v>0.64473684210526316</v>
      </c>
      <c r="G31" s="7">
        <f t="shared" si="9"/>
        <v>0.46052631578947367</v>
      </c>
      <c r="H31" s="6">
        <f t="shared" si="10"/>
        <v>60.486923029174427</v>
      </c>
      <c r="I31" s="6">
        <f t="shared" si="11"/>
        <v>1.2097384605834884</v>
      </c>
    </row>
    <row r="32" spans="1:9" x14ac:dyDescent="0.25">
      <c r="A32" s="6">
        <f t="shared" si="12"/>
        <v>5.6000000000000014</v>
      </c>
      <c r="B32" s="6">
        <v>7</v>
      </c>
      <c r="C32" s="6">
        <v>50</v>
      </c>
      <c r="D32" s="6">
        <f t="shared" si="6"/>
        <v>0.81000000000000016</v>
      </c>
      <c r="E32" s="6">
        <f t="shared" si="7"/>
        <v>2.8571428571428572</v>
      </c>
      <c r="F32" s="6">
        <f t="shared" si="8"/>
        <v>0.63157894736842102</v>
      </c>
      <c r="G32" s="7">
        <f t="shared" si="9"/>
        <v>0.45112781954887216</v>
      </c>
      <c r="H32" s="6">
        <f t="shared" si="10"/>
        <v>53.317674535409338</v>
      </c>
      <c r="I32" s="6">
        <f t="shared" si="11"/>
        <v>1.0663534907081869</v>
      </c>
    </row>
    <row r="33" spans="1:9" x14ac:dyDescent="0.25">
      <c r="A33" s="6">
        <f t="shared" si="12"/>
        <v>5.8000000000000016</v>
      </c>
      <c r="B33" s="6">
        <v>10</v>
      </c>
      <c r="C33" s="6">
        <v>50</v>
      </c>
      <c r="D33" s="6">
        <f t="shared" si="6"/>
        <v>0.83000000000000018</v>
      </c>
      <c r="E33" s="6">
        <f t="shared" si="7"/>
        <v>2</v>
      </c>
      <c r="F33" s="6">
        <f t="shared" si="8"/>
        <v>0.66315789473684206</v>
      </c>
      <c r="G33" s="7">
        <f t="shared" si="9"/>
        <v>0.47368421052631582</v>
      </c>
      <c r="H33" s="6">
        <f t="shared" si="10"/>
        <v>72.761180792931043</v>
      </c>
      <c r="I33" s="6">
        <f t="shared" si="11"/>
        <v>1.4552236158586209</v>
      </c>
    </row>
    <row r="34" spans="1:9" x14ac:dyDescent="0.25">
      <c r="A34" s="6">
        <f t="shared" si="12"/>
        <v>6.0000000000000018</v>
      </c>
      <c r="B34" s="6">
        <v>8</v>
      </c>
      <c r="C34" s="6">
        <v>50</v>
      </c>
      <c r="D34" s="6">
        <f t="shared" si="6"/>
        <v>0.8500000000000002</v>
      </c>
      <c r="E34" s="6">
        <f t="shared" si="7"/>
        <v>2.5</v>
      </c>
      <c r="F34" s="6">
        <f t="shared" si="8"/>
        <v>0.64473684210526316</v>
      </c>
      <c r="G34" s="7">
        <f t="shared" si="9"/>
        <v>0.46052631578947367</v>
      </c>
      <c r="H34" s="6">
        <f t="shared" si="10"/>
        <v>59.624021021021022</v>
      </c>
      <c r="I34" s="6">
        <f t="shared" si="11"/>
        <v>1.1924804204204205</v>
      </c>
    </row>
    <row r="35" spans="1:9" x14ac:dyDescent="0.25">
      <c r="A35" s="6">
        <f>A34+0.2</f>
        <v>6.200000000000002</v>
      </c>
      <c r="B35" s="6">
        <v>9</v>
      </c>
      <c r="C35" s="6">
        <v>50</v>
      </c>
      <c r="D35" s="6">
        <f>A35/10+0.25</f>
        <v>0.87000000000000022</v>
      </c>
      <c r="E35" s="6">
        <f t="shared" si="7"/>
        <v>2.2222222222222223</v>
      </c>
      <c r="F35" s="6">
        <f t="shared" si="8"/>
        <v>0.65497076023391809</v>
      </c>
      <c r="G35" s="7">
        <f t="shared" si="9"/>
        <v>0.46783625730994149</v>
      </c>
      <c r="H35" s="6">
        <f t="shared" si="10"/>
        <v>65.870902890800579</v>
      </c>
      <c r="I35" s="6">
        <f t="shared" si="11"/>
        <v>1.3174180578160115</v>
      </c>
    </row>
    <row r="36" spans="1:9" x14ac:dyDescent="0.25">
      <c r="A36" s="6">
        <f>A35+0.2</f>
        <v>6.4000000000000021</v>
      </c>
      <c r="B36" s="6">
        <v>8</v>
      </c>
      <c r="C36" s="6">
        <v>50</v>
      </c>
      <c r="D36" s="6">
        <f>A36/10+0.25</f>
        <v>0.89000000000000024</v>
      </c>
      <c r="E36" s="6">
        <f t="shared" si="7"/>
        <v>2.5</v>
      </c>
      <c r="F36" s="6">
        <f t="shared" si="8"/>
        <v>0.64473684210526316</v>
      </c>
      <c r="G36" s="7">
        <f t="shared" si="9"/>
        <v>0.46052631578947367</v>
      </c>
      <c r="H36" s="6">
        <f t="shared" si="10"/>
        <v>59.079190476190476</v>
      </c>
      <c r="I36" s="6">
        <f t="shared" si="11"/>
        <v>1.1815838095238096</v>
      </c>
    </row>
    <row r="37" spans="1:9" x14ac:dyDescent="0.25">
      <c r="A37" s="6">
        <f>A36+0.2</f>
        <v>6.6000000000000023</v>
      </c>
      <c r="B37" s="6">
        <v>8</v>
      </c>
      <c r="C37" s="6">
        <v>50</v>
      </c>
      <c r="D37" s="6">
        <f>A37/10+0.25</f>
        <v>0.91000000000000025</v>
      </c>
      <c r="E37" s="6">
        <f t="shared" si="7"/>
        <v>2.5</v>
      </c>
      <c r="F37" s="6">
        <f t="shared" si="8"/>
        <v>0.64473684210526316</v>
      </c>
      <c r="G37" s="7">
        <f t="shared" si="9"/>
        <v>0.46052631578947367</v>
      </c>
      <c r="H37" s="6">
        <f t="shared" si="10"/>
        <v>58.815332751599776</v>
      </c>
      <c r="I37" s="6">
        <f t="shared" si="11"/>
        <v>1.1763066550319956</v>
      </c>
    </row>
    <row r="38" spans="1:9" x14ac:dyDescent="0.25">
      <c r="A38" s="6">
        <f>A37+0.2</f>
        <v>6.8000000000000025</v>
      </c>
      <c r="B38" s="6">
        <v>6</v>
      </c>
      <c r="C38" s="6">
        <v>50</v>
      </c>
      <c r="D38" s="6">
        <f>A38/10+0.25</f>
        <v>0.93000000000000027</v>
      </c>
      <c r="E38" s="6">
        <f t="shared" si="7"/>
        <v>3.3333333333333335</v>
      </c>
      <c r="F38" s="6">
        <f t="shared" si="8"/>
        <v>0.61403508771929816</v>
      </c>
      <c r="G38" s="7">
        <f t="shared" si="9"/>
        <v>0.43859649122807015</v>
      </c>
      <c r="H38" s="6">
        <f t="shared" si="10"/>
        <v>44.769068562477401</v>
      </c>
      <c r="I38" s="6">
        <f t="shared" si="11"/>
        <v>0.89538137124954797</v>
      </c>
    </row>
    <row r="39" spans="1:9" x14ac:dyDescent="0.25">
      <c r="A39" s="6">
        <f t="shared" si="12"/>
        <v>7.0000000000000027</v>
      </c>
      <c r="B39" s="6">
        <v>8</v>
      </c>
      <c r="C39" s="6">
        <v>50</v>
      </c>
      <c r="D39" s="6">
        <f t="shared" ref="D39:D42" si="13">A39/10+0.25</f>
        <v>0.95000000000000029</v>
      </c>
      <c r="E39" s="6">
        <f t="shared" ref="E39:E42" si="14">20/B39</f>
        <v>2.5</v>
      </c>
      <c r="F39" s="6">
        <f t="shared" ref="F39:F42" si="15">0.7-0.7/19*(E39-1)</f>
        <v>0.64473684210526316</v>
      </c>
      <c r="G39" s="7">
        <f t="shared" ref="G39:G42" si="16">0.5-0.5/19*(E39-1)</f>
        <v>0.46052631578947367</v>
      </c>
      <c r="H39" s="6">
        <f t="shared" ref="H39:H42" si="17">63.5*76*(1+F39^2*D39)/((E39+G39)*(1+D39)*20)</f>
        <v>58.303854700854714</v>
      </c>
      <c r="I39" s="6">
        <f t="shared" ref="I39:I42" si="18">H39/C39</f>
        <v>1.1660770940170944</v>
      </c>
    </row>
    <row r="40" spans="1:9" x14ac:dyDescent="0.25">
      <c r="A40" s="6">
        <f t="shared" si="12"/>
        <v>7.2000000000000028</v>
      </c>
      <c r="B40" s="6">
        <v>9</v>
      </c>
      <c r="C40" s="6">
        <v>50</v>
      </c>
      <c r="D40" s="6">
        <f t="shared" si="13"/>
        <v>0.97000000000000031</v>
      </c>
      <c r="E40" s="6">
        <f t="shared" si="14"/>
        <v>2.2222222222222223</v>
      </c>
      <c r="F40" s="6">
        <f t="shared" si="15"/>
        <v>0.65497076023391809</v>
      </c>
      <c r="G40" s="7">
        <f t="shared" si="16"/>
        <v>0.46783625730994149</v>
      </c>
      <c r="H40" s="6">
        <f t="shared" si="17"/>
        <v>64.480521346771624</v>
      </c>
      <c r="I40" s="6">
        <f t="shared" si="18"/>
        <v>1.2896104269354325</v>
      </c>
    </row>
    <row r="41" spans="1:9" x14ac:dyDescent="0.25">
      <c r="A41" s="6">
        <f t="shared" si="12"/>
        <v>7.400000000000003</v>
      </c>
      <c r="B41" s="6">
        <v>7</v>
      </c>
      <c r="C41" s="6">
        <v>50</v>
      </c>
      <c r="D41" s="6">
        <f t="shared" si="13"/>
        <v>0.99000000000000032</v>
      </c>
      <c r="E41" s="6">
        <f t="shared" si="14"/>
        <v>2.8571428571428572</v>
      </c>
      <c r="F41" s="6">
        <f t="shared" si="15"/>
        <v>0.63157894736842102</v>
      </c>
      <c r="G41" s="7">
        <f t="shared" si="16"/>
        <v>0.45112781954887216</v>
      </c>
      <c r="H41" s="6">
        <f t="shared" si="17"/>
        <v>51.126637734125161</v>
      </c>
      <c r="I41" s="6">
        <f t="shared" si="18"/>
        <v>1.0225327546825032</v>
      </c>
    </row>
    <row r="42" spans="1:9" x14ac:dyDescent="0.25">
      <c r="A42" s="6">
        <f>A41+0.2</f>
        <v>7.6000000000000032</v>
      </c>
      <c r="B42" s="6">
        <v>8</v>
      </c>
      <c r="C42" s="6">
        <v>50</v>
      </c>
      <c r="D42" s="6">
        <f t="shared" si="13"/>
        <v>1.0100000000000002</v>
      </c>
      <c r="E42" s="6">
        <f t="shared" si="14"/>
        <v>2.5</v>
      </c>
      <c r="F42" s="6">
        <f t="shared" si="15"/>
        <v>0.64473684210526316</v>
      </c>
      <c r="G42" s="7">
        <f t="shared" si="16"/>
        <v>0.46052631578947367</v>
      </c>
      <c r="H42" s="6">
        <f t="shared" si="17"/>
        <v>57.574807628524049</v>
      </c>
      <c r="I42" s="6">
        <f t="shared" si="18"/>
        <v>1.151496152570481</v>
      </c>
    </row>
    <row r="43" spans="1:9" x14ac:dyDescent="0.25">
      <c r="A43" s="6">
        <f t="shared" ref="A43:A60" si="19">A42+0.2</f>
        <v>7.8000000000000034</v>
      </c>
      <c r="B43" s="6">
        <v>9</v>
      </c>
      <c r="C43" s="6">
        <v>50</v>
      </c>
      <c r="D43" s="6">
        <f t="shared" ref="D43:D60" si="20">A43/10+0.25</f>
        <v>1.0300000000000002</v>
      </c>
      <c r="E43" s="6">
        <f t="shared" ref="E43:E60" si="21">20/B43</f>
        <v>2.2222222222222223</v>
      </c>
      <c r="F43" s="6">
        <f t="shared" ref="F43:F60" si="22">0.7-0.7/19*(E43-1)</f>
        <v>0.65497076023391809</v>
      </c>
      <c r="G43" s="7">
        <f t="shared" ref="G43:G60" si="23">0.5-0.5/19*(E43-1)</f>
        <v>0.46783625730994149</v>
      </c>
      <c r="H43" s="6">
        <f t="shared" ref="H43:H60" si="24">63.5*76*(1+F43^2*D43)/((E43+G43)*(1+D43)*20)</f>
        <v>63.712044453963486</v>
      </c>
      <c r="I43" s="6">
        <f t="shared" ref="I43:I60" si="25">H43/C43</f>
        <v>1.2742408890792698</v>
      </c>
    </row>
    <row r="44" spans="1:9" x14ac:dyDescent="0.25">
      <c r="A44" s="6">
        <f t="shared" si="19"/>
        <v>8.0000000000000036</v>
      </c>
      <c r="B44" s="6">
        <v>10</v>
      </c>
      <c r="C44" s="6">
        <v>50</v>
      </c>
      <c r="D44" s="6">
        <f t="shared" si="20"/>
        <v>1.0500000000000003</v>
      </c>
      <c r="E44" s="6">
        <f t="shared" si="21"/>
        <v>2</v>
      </c>
      <c r="F44" s="6">
        <f t="shared" si="22"/>
        <v>0.66315789473684206</v>
      </c>
      <c r="G44" s="7">
        <f t="shared" si="23"/>
        <v>0.47368421052631582</v>
      </c>
      <c r="H44" s="6">
        <f t="shared" si="24"/>
        <v>69.556456668396464</v>
      </c>
      <c r="I44" s="6">
        <f t="shared" si="25"/>
        <v>1.3911291333679292</v>
      </c>
    </row>
    <row r="45" spans="1:9" x14ac:dyDescent="0.25">
      <c r="A45" s="6">
        <f t="shared" si="19"/>
        <v>8.2000000000000028</v>
      </c>
      <c r="B45" s="6">
        <v>12</v>
      </c>
      <c r="C45" s="6">
        <v>50</v>
      </c>
      <c r="D45" s="6">
        <f t="shared" si="20"/>
        <v>1.0700000000000003</v>
      </c>
      <c r="E45" s="6">
        <f t="shared" si="21"/>
        <v>1.6666666666666667</v>
      </c>
      <c r="F45" s="6">
        <f t="shared" si="22"/>
        <v>0.67543859649122806</v>
      </c>
      <c r="G45" s="7">
        <f t="shared" si="23"/>
        <v>0.48245614035087719</v>
      </c>
      <c r="H45" s="6">
        <f t="shared" si="24"/>
        <v>80.718518847152382</v>
      </c>
      <c r="I45" s="6">
        <f t="shared" si="25"/>
        <v>1.6143703769430475</v>
      </c>
    </row>
    <row r="46" spans="1:9" x14ac:dyDescent="0.25">
      <c r="A46" s="6">
        <f t="shared" si="19"/>
        <v>8.4000000000000021</v>
      </c>
      <c r="B46" s="6">
        <v>13</v>
      </c>
      <c r="C46" s="6">
        <v>50</v>
      </c>
      <c r="D46" s="6">
        <f t="shared" si="20"/>
        <v>1.0900000000000003</v>
      </c>
      <c r="E46" s="6">
        <f t="shared" si="21"/>
        <v>1.5384615384615385</v>
      </c>
      <c r="F46" s="6">
        <f t="shared" si="22"/>
        <v>0.68016194331983804</v>
      </c>
      <c r="G46" s="7">
        <f t="shared" si="23"/>
        <v>0.48582995951417002</v>
      </c>
      <c r="H46" s="6">
        <f t="shared" si="24"/>
        <v>85.794562532204608</v>
      </c>
      <c r="I46" s="6">
        <f t="shared" si="25"/>
        <v>1.7158912506440922</v>
      </c>
    </row>
    <row r="47" spans="1:9" x14ac:dyDescent="0.25">
      <c r="A47" s="6">
        <f t="shared" si="19"/>
        <v>8.6000000000000014</v>
      </c>
      <c r="B47" s="6">
        <v>13</v>
      </c>
      <c r="C47" s="6">
        <v>50</v>
      </c>
      <c r="D47" s="6">
        <f t="shared" si="20"/>
        <v>1.1100000000000001</v>
      </c>
      <c r="E47" s="6">
        <f t="shared" si="21"/>
        <v>1.5384615384615385</v>
      </c>
      <c r="F47" s="6">
        <f t="shared" si="22"/>
        <v>0.68016194331983804</v>
      </c>
      <c r="G47" s="7">
        <f t="shared" si="23"/>
        <v>0.48582995951417002</v>
      </c>
      <c r="H47" s="6">
        <f t="shared" si="24"/>
        <v>85.504048705796549</v>
      </c>
      <c r="I47" s="6">
        <f t="shared" si="25"/>
        <v>1.7100809741159311</v>
      </c>
    </row>
    <row r="48" spans="1:9" x14ac:dyDescent="0.25">
      <c r="A48" s="6">
        <f t="shared" si="19"/>
        <v>8.8000000000000007</v>
      </c>
      <c r="B48" s="6">
        <v>13</v>
      </c>
      <c r="C48" s="6">
        <v>50</v>
      </c>
      <c r="D48" s="6">
        <f t="shared" si="20"/>
        <v>1.1300000000000001</v>
      </c>
      <c r="E48" s="6">
        <f t="shared" si="21"/>
        <v>1.5384615384615385</v>
      </c>
      <c r="F48" s="6">
        <f t="shared" si="22"/>
        <v>0.68016194331983804</v>
      </c>
      <c r="G48" s="7">
        <f t="shared" si="23"/>
        <v>0.48582995951417002</v>
      </c>
      <c r="H48" s="6">
        <f t="shared" si="24"/>
        <v>85.2189905381004</v>
      </c>
      <c r="I48" s="6">
        <f t="shared" si="25"/>
        <v>1.7043798107620081</v>
      </c>
    </row>
    <row r="49" spans="1:9" x14ac:dyDescent="0.25">
      <c r="A49" s="6">
        <f t="shared" si="19"/>
        <v>9</v>
      </c>
      <c r="B49" s="6">
        <v>15</v>
      </c>
      <c r="C49" s="6">
        <v>50</v>
      </c>
      <c r="D49" s="6">
        <f t="shared" si="20"/>
        <v>1.1499999999999999</v>
      </c>
      <c r="E49" s="6">
        <f t="shared" si="21"/>
        <v>1.3333333333333333</v>
      </c>
      <c r="F49" s="6">
        <f t="shared" si="22"/>
        <v>0.68771929824561395</v>
      </c>
      <c r="G49" s="7">
        <f t="shared" si="23"/>
        <v>0.49122807017543862</v>
      </c>
      <c r="H49" s="6">
        <f t="shared" si="24"/>
        <v>94.968585569469283</v>
      </c>
      <c r="I49" s="6">
        <f t="shared" si="25"/>
        <v>1.8993717113893858</v>
      </c>
    </row>
    <row r="50" spans="1:9" x14ac:dyDescent="0.25">
      <c r="A50" s="6">
        <f t="shared" si="19"/>
        <v>9.1999999999999993</v>
      </c>
      <c r="B50" s="6">
        <v>17</v>
      </c>
      <c r="C50" s="6">
        <v>50</v>
      </c>
      <c r="D50" s="6">
        <f t="shared" si="20"/>
        <v>1.17</v>
      </c>
      <c r="E50" s="6">
        <f t="shared" si="21"/>
        <v>1.1764705882352942</v>
      </c>
      <c r="F50" s="6">
        <f t="shared" si="22"/>
        <v>0.6934984520123838</v>
      </c>
      <c r="G50" s="7">
        <f t="shared" si="23"/>
        <v>0.49535603715170279</v>
      </c>
      <c r="H50" s="6">
        <f t="shared" si="24"/>
        <v>103.93981526660843</v>
      </c>
      <c r="I50" s="6">
        <f t="shared" si="25"/>
        <v>2.0787963053321685</v>
      </c>
    </row>
    <row r="51" spans="1:9" x14ac:dyDescent="0.25">
      <c r="A51" s="6">
        <f t="shared" si="19"/>
        <v>9.3999999999999986</v>
      </c>
      <c r="B51" s="6">
        <v>37</v>
      </c>
      <c r="C51" s="6">
        <v>50</v>
      </c>
      <c r="D51" s="6">
        <f t="shared" si="20"/>
        <v>1.19</v>
      </c>
      <c r="E51" s="6">
        <f t="shared" si="21"/>
        <v>0.54054054054054057</v>
      </c>
      <c r="F51" s="6">
        <f t="shared" si="22"/>
        <v>0.71692745376955902</v>
      </c>
      <c r="G51" s="7">
        <f t="shared" si="23"/>
        <v>0.5120910384068279</v>
      </c>
      <c r="H51" s="6">
        <f t="shared" si="24"/>
        <v>168.69624710234109</v>
      </c>
      <c r="I51" s="6">
        <f t="shared" si="25"/>
        <v>3.3739249420468216</v>
      </c>
    </row>
    <row r="52" spans="1:9" x14ac:dyDescent="0.25">
      <c r="A52" s="6">
        <f t="shared" si="19"/>
        <v>9.5999999999999979</v>
      </c>
      <c r="B52" s="6">
        <v>28</v>
      </c>
      <c r="C52" s="6">
        <v>50</v>
      </c>
      <c r="D52" s="6">
        <f t="shared" si="20"/>
        <v>1.2099999999999997</v>
      </c>
      <c r="E52" s="6">
        <f t="shared" si="21"/>
        <v>0.7142857142857143</v>
      </c>
      <c r="F52" s="6">
        <f t="shared" si="22"/>
        <v>0.71052631578947367</v>
      </c>
      <c r="G52" s="7">
        <f t="shared" si="23"/>
        <v>0.50751879699248126</v>
      </c>
      <c r="H52" s="6">
        <f t="shared" si="24"/>
        <v>143.95363800904977</v>
      </c>
      <c r="I52" s="6">
        <f t="shared" si="25"/>
        <v>2.8790727601809953</v>
      </c>
    </row>
    <row r="53" spans="1:9" x14ac:dyDescent="0.25">
      <c r="A53" s="6">
        <f t="shared" si="19"/>
        <v>9.7999999999999972</v>
      </c>
      <c r="B53" s="6">
        <v>21</v>
      </c>
      <c r="C53" s="6">
        <v>50</v>
      </c>
      <c r="D53" s="6">
        <f t="shared" si="20"/>
        <v>1.2299999999999998</v>
      </c>
      <c r="E53" s="6">
        <f t="shared" si="21"/>
        <v>0.95238095238095233</v>
      </c>
      <c r="F53" s="6">
        <f t="shared" si="22"/>
        <v>0.70175438596491224</v>
      </c>
      <c r="G53" s="7">
        <f t="shared" si="23"/>
        <v>0.50125313283208017</v>
      </c>
      <c r="H53" s="6">
        <f t="shared" si="24"/>
        <v>119.52767898561933</v>
      </c>
      <c r="I53" s="6">
        <f t="shared" si="25"/>
        <v>2.3905535797123867</v>
      </c>
    </row>
    <row r="54" spans="1:9" x14ac:dyDescent="0.25">
      <c r="A54" s="6">
        <f t="shared" si="19"/>
        <v>9.9999999999999964</v>
      </c>
      <c r="B54" s="6">
        <v>22</v>
      </c>
      <c r="C54" s="6">
        <v>50</v>
      </c>
      <c r="D54" s="6">
        <f t="shared" si="20"/>
        <v>1.2499999999999996</v>
      </c>
      <c r="E54" s="6">
        <f t="shared" si="21"/>
        <v>0.90909090909090906</v>
      </c>
      <c r="F54" s="6">
        <f t="shared" si="22"/>
        <v>0.70334928229665072</v>
      </c>
      <c r="G54" s="7">
        <f t="shared" si="23"/>
        <v>0.50239234449760761</v>
      </c>
      <c r="H54" s="6">
        <f t="shared" si="24"/>
        <v>122.96409176510873</v>
      </c>
      <c r="I54" s="6">
        <f t="shared" si="25"/>
        <v>2.4592818353021748</v>
      </c>
    </row>
    <row r="55" spans="1:9" x14ac:dyDescent="0.25">
      <c r="A55" s="6">
        <f t="shared" si="19"/>
        <v>10.199999999999996</v>
      </c>
      <c r="B55" s="6">
        <v>30</v>
      </c>
      <c r="C55" s="6">
        <v>50</v>
      </c>
      <c r="D55" s="6">
        <f t="shared" si="20"/>
        <v>1.2699999999999996</v>
      </c>
      <c r="E55" s="6">
        <f t="shared" si="21"/>
        <v>0.66666666666666663</v>
      </c>
      <c r="F55" s="6">
        <f t="shared" si="22"/>
        <v>0.71228070175438596</v>
      </c>
      <c r="G55" s="7">
        <f t="shared" si="23"/>
        <v>0.50877192982456143</v>
      </c>
      <c r="H55" s="6">
        <f t="shared" si="24"/>
        <v>148.7029575470664</v>
      </c>
      <c r="I55" s="6">
        <f t="shared" si="25"/>
        <v>2.9740591509413279</v>
      </c>
    </row>
    <row r="56" spans="1:9" x14ac:dyDescent="0.25">
      <c r="A56" s="6">
        <f t="shared" si="19"/>
        <v>10.399999999999995</v>
      </c>
      <c r="B56" s="6">
        <v>25</v>
      </c>
      <c r="C56" s="6">
        <v>50</v>
      </c>
      <c r="D56" s="6">
        <f t="shared" si="20"/>
        <v>1.2899999999999996</v>
      </c>
      <c r="E56" s="6">
        <f t="shared" si="21"/>
        <v>0.8</v>
      </c>
      <c r="F56" s="6">
        <f t="shared" si="22"/>
        <v>0.70736842105263154</v>
      </c>
      <c r="G56" s="7">
        <f t="shared" si="23"/>
        <v>0.50526315789473686</v>
      </c>
      <c r="H56" s="6">
        <f t="shared" si="24"/>
        <v>132.83596754472458</v>
      </c>
      <c r="I56" s="6">
        <f t="shared" si="25"/>
        <v>2.6567193508944915</v>
      </c>
    </row>
    <row r="57" spans="1:9" x14ac:dyDescent="0.25">
      <c r="A57" s="6">
        <f t="shared" si="19"/>
        <v>10.599999999999994</v>
      </c>
      <c r="B57" s="6">
        <v>29</v>
      </c>
      <c r="C57" s="6">
        <v>50</v>
      </c>
      <c r="D57" s="6">
        <f t="shared" si="20"/>
        <v>1.3099999999999994</v>
      </c>
      <c r="E57" s="6">
        <f t="shared" si="21"/>
        <v>0.68965517241379315</v>
      </c>
      <c r="F57" s="6">
        <f t="shared" si="22"/>
        <v>0.71143375680580756</v>
      </c>
      <c r="G57" s="7">
        <f t="shared" si="23"/>
        <v>0.50816696914700543</v>
      </c>
      <c r="H57" s="6">
        <f t="shared" si="24"/>
        <v>145.0293501065288</v>
      </c>
      <c r="I57" s="6">
        <f t="shared" si="25"/>
        <v>2.900587002130576</v>
      </c>
    </row>
    <row r="58" spans="1:9" x14ac:dyDescent="0.25">
      <c r="A58" s="6">
        <f t="shared" si="19"/>
        <v>10.799999999999994</v>
      </c>
      <c r="B58" s="6">
        <v>33</v>
      </c>
      <c r="C58" s="6">
        <v>50</v>
      </c>
      <c r="D58" s="6">
        <f t="shared" si="20"/>
        <v>1.3299999999999994</v>
      </c>
      <c r="E58" s="6">
        <f t="shared" si="21"/>
        <v>0.60606060606060608</v>
      </c>
      <c r="F58" s="6">
        <f t="shared" si="22"/>
        <v>0.71451355661881977</v>
      </c>
      <c r="G58" s="7">
        <f t="shared" si="23"/>
        <v>0.5103668261562998</v>
      </c>
      <c r="H58" s="6">
        <f t="shared" si="24"/>
        <v>155.74809215391193</v>
      </c>
      <c r="I58" s="6">
        <f t="shared" si="25"/>
        <v>3.1149618430782384</v>
      </c>
    </row>
    <row r="59" spans="1:9" x14ac:dyDescent="0.25">
      <c r="A59" s="6">
        <f t="shared" si="19"/>
        <v>10.999999999999993</v>
      </c>
      <c r="B59" s="6">
        <v>41</v>
      </c>
      <c r="C59" s="6">
        <v>50</v>
      </c>
      <c r="D59" s="6">
        <f t="shared" si="20"/>
        <v>1.3499999999999992</v>
      </c>
      <c r="E59" s="6">
        <f t="shared" si="21"/>
        <v>0.48780487804878048</v>
      </c>
      <c r="F59" s="6">
        <f t="shared" si="22"/>
        <v>0.71887034659820281</v>
      </c>
      <c r="G59" s="7">
        <f t="shared" si="23"/>
        <v>0.51347881899871628</v>
      </c>
      <c r="H59" s="6">
        <f t="shared" si="24"/>
        <v>174.09222120208108</v>
      </c>
      <c r="I59" s="6">
        <f t="shared" si="25"/>
        <v>3.4818444240416215</v>
      </c>
    </row>
    <row r="60" spans="1:9" x14ac:dyDescent="0.25">
      <c r="A60" s="6">
        <f t="shared" si="19"/>
        <v>11.199999999999992</v>
      </c>
      <c r="B60" s="6">
        <v>100</v>
      </c>
      <c r="C60" s="6">
        <v>50</v>
      </c>
      <c r="D60" s="6">
        <f t="shared" si="20"/>
        <v>1.3699999999999992</v>
      </c>
      <c r="E60" s="6">
        <f t="shared" si="21"/>
        <v>0.2</v>
      </c>
      <c r="F60" s="6">
        <f t="shared" si="22"/>
        <v>0.72947368421052627</v>
      </c>
      <c r="G60" s="7">
        <f t="shared" si="23"/>
        <v>0.52105263157894732</v>
      </c>
      <c r="H60" s="6">
        <f t="shared" si="24"/>
        <v>244.14182575379593</v>
      </c>
      <c r="I60" s="6">
        <f t="shared" si="25"/>
        <v>4.882836515075919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AAC0-9D5A-4C75-9D70-84B1D42EEEEE}">
  <dimension ref="A3:J45"/>
  <sheetViews>
    <sheetView showGridLines="0" tabSelected="1" workbookViewId="0">
      <selection activeCell="A4" sqref="A4:B4"/>
    </sheetView>
  </sheetViews>
  <sheetFormatPr baseColWidth="10" defaultRowHeight="15.75" x14ac:dyDescent="0.25"/>
  <cols>
    <col min="1" max="1" width="11.5546875" style="1"/>
    <col min="2" max="2" width="14.88671875" style="1" bestFit="1" customWidth="1"/>
    <col min="3" max="6" width="11.5546875" style="1"/>
    <col min="7" max="7" width="11.5546875" style="2"/>
    <col min="8" max="9" width="11.5546875" style="1"/>
    <col min="10" max="16384" width="11.5546875" style="3"/>
  </cols>
  <sheetData>
    <row r="3" spans="1:10" ht="31.5" x14ac:dyDescent="0.25">
      <c r="A3" s="4"/>
      <c r="B3" s="4"/>
      <c r="C3" s="4"/>
      <c r="D3" s="4"/>
      <c r="E3" s="4"/>
      <c r="F3" s="4"/>
      <c r="G3" s="5"/>
      <c r="H3" s="9" t="s">
        <v>7</v>
      </c>
      <c r="I3" s="9" t="s">
        <v>9</v>
      </c>
    </row>
    <row r="4" spans="1:10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8</v>
      </c>
      <c r="I4" s="8" t="s">
        <v>8</v>
      </c>
    </row>
    <row r="5" spans="1:10" x14ac:dyDescent="0.25">
      <c r="A5" s="6">
        <v>0.2</v>
      </c>
      <c r="B5" s="6">
        <v>5</v>
      </c>
      <c r="C5" s="6">
        <v>50</v>
      </c>
      <c r="D5" s="6">
        <f>A5/10+0.25</f>
        <v>0.27</v>
      </c>
      <c r="E5" s="6">
        <f>20/B5</f>
        <v>4</v>
      </c>
      <c r="F5" s="6">
        <f>0.7-0.7/19*(E5-1)</f>
        <v>0.58947368421052626</v>
      </c>
      <c r="G5" s="7">
        <f>0.5-0.5/19*(E5-1)</f>
        <v>0.42105263157894735</v>
      </c>
      <c r="H5" s="6">
        <f>63.5*76*(1+F5^2*D5)/((E5+G5)*(1+D5)*20)</f>
        <v>47.008190476190478</v>
      </c>
      <c r="I5" s="6">
        <f>H5/C5</f>
        <v>0.94016380952380951</v>
      </c>
    </row>
    <row r="6" spans="1:10" x14ac:dyDescent="0.25">
      <c r="A6" s="6">
        <v>0.4</v>
      </c>
      <c r="B6" s="6">
        <v>8</v>
      </c>
      <c r="C6" s="6">
        <v>50</v>
      </c>
      <c r="D6" s="6">
        <f t="shared" ref="D6:D20" si="0">A6/10+0.25</f>
        <v>0.28999999999999998</v>
      </c>
      <c r="E6" s="6">
        <f t="shared" ref="E6:E20" si="1">20/B6</f>
        <v>2.5</v>
      </c>
      <c r="F6" s="6">
        <f t="shared" ref="F6:F20" si="2">0.7-0.7/19*(E6-1)</f>
        <v>0.64473684210526316</v>
      </c>
      <c r="G6" s="7">
        <f t="shared" ref="G6:G20" si="3">0.5-0.5/19*(E6-1)</f>
        <v>0.46052631578947367</v>
      </c>
      <c r="H6" s="6">
        <f t="shared" ref="H6:H20" si="4">63.5*76*(1+F6^2*D6)/((E6+G6)*(1+D6)*20)</f>
        <v>70.799382428940575</v>
      </c>
      <c r="I6" s="6">
        <f t="shared" ref="I6:I20" si="5">H6/C6</f>
        <v>1.4159876485788114</v>
      </c>
    </row>
    <row r="7" spans="1:10" x14ac:dyDescent="0.25">
      <c r="A7" s="6">
        <v>0.6</v>
      </c>
      <c r="B7" s="6">
        <v>8</v>
      </c>
      <c r="C7" s="6">
        <v>50</v>
      </c>
      <c r="D7" s="6">
        <f t="shared" si="0"/>
        <v>0.31</v>
      </c>
      <c r="E7" s="6">
        <f t="shared" si="1"/>
        <v>2.5</v>
      </c>
      <c r="F7" s="6">
        <f t="shared" si="2"/>
        <v>0.64473684210526316</v>
      </c>
      <c r="G7" s="7">
        <f t="shared" si="3"/>
        <v>0.46052631578947367</v>
      </c>
      <c r="H7" s="6">
        <f t="shared" si="4"/>
        <v>70.235739609838845</v>
      </c>
      <c r="I7" s="6">
        <f t="shared" si="5"/>
        <v>1.4047147921967769</v>
      </c>
    </row>
    <row r="8" spans="1:10" x14ac:dyDescent="0.25">
      <c r="A8" s="6">
        <v>0.8</v>
      </c>
      <c r="B8" s="6">
        <v>7</v>
      </c>
      <c r="C8" s="6">
        <v>50</v>
      </c>
      <c r="D8" s="6">
        <f t="shared" si="0"/>
        <v>0.33</v>
      </c>
      <c r="E8" s="6">
        <f t="shared" si="1"/>
        <v>2.8571428571428572</v>
      </c>
      <c r="F8" s="6">
        <f t="shared" si="2"/>
        <v>0.63157894736842102</v>
      </c>
      <c r="G8" s="7">
        <f t="shared" si="3"/>
        <v>0.45112781954887216</v>
      </c>
      <c r="H8" s="6">
        <f t="shared" si="4"/>
        <v>62.059856459330149</v>
      </c>
      <c r="I8" s="6">
        <f t="shared" si="5"/>
        <v>1.2411971291866031</v>
      </c>
    </row>
    <row r="9" spans="1:10" x14ac:dyDescent="0.25">
      <c r="A9" s="6">
        <v>1</v>
      </c>
      <c r="B9" s="6">
        <v>11</v>
      </c>
      <c r="C9" s="6">
        <v>50</v>
      </c>
      <c r="D9" s="6">
        <f t="shared" si="0"/>
        <v>0.35</v>
      </c>
      <c r="E9" s="6">
        <f t="shared" si="1"/>
        <v>1.8181818181818181</v>
      </c>
      <c r="F9" s="6">
        <f t="shared" si="2"/>
        <v>0.66985645933014348</v>
      </c>
      <c r="G9" s="7">
        <f t="shared" si="3"/>
        <v>0.4784688995215311</v>
      </c>
      <c r="H9" s="6">
        <f t="shared" si="4"/>
        <v>90.049200336700324</v>
      </c>
      <c r="I9" s="6">
        <f t="shared" si="5"/>
        <v>1.8009840067340064</v>
      </c>
    </row>
    <row r="10" spans="1:10" x14ac:dyDescent="0.25">
      <c r="A10" s="6">
        <v>1.2</v>
      </c>
      <c r="B10" s="6">
        <v>21</v>
      </c>
      <c r="C10" s="6">
        <v>50</v>
      </c>
      <c r="D10" s="6">
        <f t="shared" si="0"/>
        <v>0.37</v>
      </c>
      <c r="E10" s="6">
        <f t="shared" si="1"/>
        <v>0.95238095238095233</v>
      </c>
      <c r="F10" s="6">
        <f t="shared" si="2"/>
        <v>0.70175438596491224</v>
      </c>
      <c r="G10" s="7">
        <f t="shared" si="3"/>
        <v>0.50125313283208017</v>
      </c>
      <c r="H10" s="6">
        <f t="shared" si="4"/>
        <v>143.24393824985319</v>
      </c>
      <c r="I10" s="6">
        <f t="shared" si="5"/>
        <v>2.864878764997064</v>
      </c>
    </row>
    <row r="11" spans="1:10" ht="15.75" customHeight="1" x14ac:dyDescent="0.25">
      <c r="A11" s="6">
        <v>1.4</v>
      </c>
      <c r="B11" s="6">
        <v>14</v>
      </c>
      <c r="C11" s="6">
        <v>50</v>
      </c>
      <c r="D11" s="6">
        <f t="shared" si="0"/>
        <v>0.39</v>
      </c>
      <c r="E11" s="6">
        <f t="shared" si="1"/>
        <v>1.4285714285714286</v>
      </c>
      <c r="F11" s="6">
        <f t="shared" si="2"/>
        <v>0.68421052631578938</v>
      </c>
      <c r="G11" s="7">
        <f t="shared" si="3"/>
        <v>0.48872180451127822</v>
      </c>
      <c r="H11" s="6">
        <f t="shared" si="4"/>
        <v>107.07377345182675</v>
      </c>
      <c r="I11" s="6">
        <f t="shared" si="5"/>
        <v>2.1414754690365352</v>
      </c>
    </row>
    <row r="12" spans="1:10" x14ac:dyDescent="0.25">
      <c r="A12" s="6">
        <v>1.6</v>
      </c>
      <c r="B12" s="6">
        <v>7</v>
      </c>
      <c r="C12" s="6">
        <v>50</v>
      </c>
      <c r="D12" s="6">
        <f t="shared" si="0"/>
        <v>0.41000000000000003</v>
      </c>
      <c r="E12" s="6">
        <f t="shared" si="1"/>
        <v>2.8571428571428572</v>
      </c>
      <c r="F12" s="6">
        <f t="shared" si="2"/>
        <v>0.63157894736842102</v>
      </c>
      <c r="G12" s="7">
        <f t="shared" si="3"/>
        <v>0.45112781954887216</v>
      </c>
      <c r="H12" s="6">
        <f t="shared" si="4"/>
        <v>60.189484203739511</v>
      </c>
      <c r="I12" s="6">
        <f t="shared" si="5"/>
        <v>1.2037896840747901</v>
      </c>
    </row>
    <row r="13" spans="1:10" x14ac:dyDescent="0.25">
      <c r="A13" s="6">
        <v>1.8</v>
      </c>
      <c r="B13" s="6">
        <v>8</v>
      </c>
      <c r="C13" s="6">
        <v>50</v>
      </c>
      <c r="D13" s="6">
        <f t="shared" si="0"/>
        <v>0.43</v>
      </c>
      <c r="E13" s="6">
        <f t="shared" si="1"/>
        <v>2.5</v>
      </c>
      <c r="F13" s="6">
        <f t="shared" si="2"/>
        <v>0.64473684210526316</v>
      </c>
      <c r="G13" s="7">
        <f t="shared" si="3"/>
        <v>0.46052631578947367</v>
      </c>
      <c r="H13" s="6">
        <f t="shared" si="4"/>
        <v>67.184973581973594</v>
      </c>
      <c r="I13" s="6">
        <f t="shared" si="5"/>
        <v>1.3436994716394719</v>
      </c>
    </row>
    <row r="14" spans="1:10" x14ac:dyDescent="0.25">
      <c r="A14" s="6">
        <v>2</v>
      </c>
      <c r="B14" s="6">
        <v>6</v>
      </c>
      <c r="C14" s="6">
        <v>50</v>
      </c>
      <c r="D14" s="6">
        <f t="shared" si="0"/>
        <v>0.45</v>
      </c>
      <c r="E14" s="6">
        <f t="shared" si="1"/>
        <v>3.3333333333333335</v>
      </c>
      <c r="F14" s="6">
        <f t="shared" si="2"/>
        <v>0.61403508771929816</v>
      </c>
      <c r="G14" s="7">
        <f t="shared" si="3"/>
        <v>0.43859649122807015</v>
      </c>
      <c r="H14" s="6">
        <f t="shared" si="4"/>
        <v>51.60457097032878</v>
      </c>
      <c r="I14" s="6">
        <f t="shared" si="5"/>
        <v>1.0320914194065756</v>
      </c>
      <c r="J14" s="3">
        <f>AVERAGE(I14:I24)</f>
        <v>1.2205200523335193</v>
      </c>
    </row>
    <row r="15" spans="1:10" x14ac:dyDescent="0.25">
      <c r="A15" s="6">
        <v>2.2000000000000002</v>
      </c>
      <c r="B15" s="6">
        <v>6</v>
      </c>
      <c r="C15" s="6">
        <v>50</v>
      </c>
      <c r="D15" s="6">
        <f t="shared" si="0"/>
        <v>0.47000000000000003</v>
      </c>
      <c r="E15" s="6">
        <f t="shared" si="1"/>
        <v>3.3333333333333335</v>
      </c>
      <c r="F15" s="6">
        <f t="shared" si="2"/>
        <v>0.61403508771929816</v>
      </c>
      <c r="G15" s="7">
        <f t="shared" si="3"/>
        <v>0.43859649122807015</v>
      </c>
      <c r="H15" s="6">
        <f t="shared" si="4"/>
        <v>51.230633338606758</v>
      </c>
      <c r="I15" s="6">
        <f t="shared" si="5"/>
        <v>1.0246126667721351</v>
      </c>
    </row>
    <row r="16" spans="1:10" x14ac:dyDescent="0.25">
      <c r="A16" s="6">
        <v>2.4</v>
      </c>
      <c r="B16" s="6">
        <v>6</v>
      </c>
      <c r="C16" s="6">
        <v>50</v>
      </c>
      <c r="D16" s="6">
        <f t="shared" si="0"/>
        <v>0.49</v>
      </c>
      <c r="E16" s="6">
        <f t="shared" si="1"/>
        <v>3.3333333333333335</v>
      </c>
      <c r="F16" s="6">
        <f t="shared" si="2"/>
        <v>0.61403508771929816</v>
      </c>
      <c r="G16" s="7">
        <f t="shared" si="3"/>
        <v>0.43859649122807015</v>
      </c>
      <c r="H16" s="6">
        <f t="shared" si="4"/>
        <v>50.86673430102492</v>
      </c>
      <c r="I16" s="6">
        <f t="shared" si="5"/>
        <v>1.0173346860204984</v>
      </c>
    </row>
    <row r="17" spans="1:9" x14ac:dyDescent="0.25">
      <c r="A17" s="6">
        <v>2.6</v>
      </c>
      <c r="B17" s="6">
        <v>7</v>
      </c>
      <c r="C17" s="6">
        <v>50</v>
      </c>
      <c r="D17" s="6">
        <f t="shared" si="0"/>
        <v>0.51</v>
      </c>
      <c r="E17" s="6">
        <f t="shared" si="1"/>
        <v>2.8571428571428572</v>
      </c>
      <c r="F17" s="6">
        <f t="shared" si="2"/>
        <v>0.63157894736842102</v>
      </c>
      <c r="G17" s="7">
        <f t="shared" si="3"/>
        <v>0.45112781954887216</v>
      </c>
      <c r="H17" s="6">
        <f t="shared" si="4"/>
        <v>58.130216736905467</v>
      </c>
      <c r="I17" s="6">
        <f t="shared" si="5"/>
        <v>1.1626043347381094</v>
      </c>
    </row>
    <row r="18" spans="1:9" x14ac:dyDescent="0.25">
      <c r="A18" s="6">
        <v>2.8</v>
      </c>
      <c r="B18" s="6">
        <v>7</v>
      </c>
      <c r="C18" s="6">
        <v>50</v>
      </c>
      <c r="D18" s="6">
        <f t="shared" si="0"/>
        <v>0.53</v>
      </c>
      <c r="E18" s="6">
        <f t="shared" si="1"/>
        <v>2.8571428571428572</v>
      </c>
      <c r="F18" s="6">
        <f t="shared" si="2"/>
        <v>0.63157894736842102</v>
      </c>
      <c r="G18" s="7">
        <f t="shared" si="3"/>
        <v>0.45112781954887216</v>
      </c>
      <c r="H18" s="6">
        <f t="shared" si="4"/>
        <v>57.75066547831252</v>
      </c>
      <c r="I18" s="6">
        <f t="shared" si="5"/>
        <v>1.1550133095662505</v>
      </c>
    </row>
    <row r="19" spans="1:9" x14ac:dyDescent="0.25">
      <c r="A19" s="6">
        <v>3</v>
      </c>
      <c r="B19" s="6">
        <v>8</v>
      </c>
      <c r="C19" s="6">
        <v>50</v>
      </c>
      <c r="D19" s="6">
        <f t="shared" si="0"/>
        <v>0.55000000000000004</v>
      </c>
      <c r="E19" s="6">
        <f t="shared" si="1"/>
        <v>2.5</v>
      </c>
      <c r="F19" s="6">
        <f t="shared" si="2"/>
        <v>0.64473684210526316</v>
      </c>
      <c r="G19" s="7">
        <f t="shared" si="3"/>
        <v>0.46052631578947367</v>
      </c>
      <c r="H19" s="6">
        <f t="shared" si="4"/>
        <v>64.606584229390677</v>
      </c>
      <c r="I19" s="6">
        <f t="shared" si="5"/>
        <v>1.2921316845878135</v>
      </c>
    </row>
    <row r="20" spans="1:9" x14ac:dyDescent="0.25">
      <c r="A20" s="6">
        <v>3.2</v>
      </c>
      <c r="B20" s="6">
        <v>7</v>
      </c>
      <c r="C20" s="6">
        <v>50</v>
      </c>
      <c r="D20" s="6">
        <f t="shared" si="0"/>
        <v>0.57000000000000006</v>
      </c>
      <c r="E20" s="6">
        <f t="shared" si="1"/>
        <v>2.8571428571428572</v>
      </c>
      <c r="F20" s="6">
        <f t="shared" si="2"/>
        <v>0.63157894736842102</v>
      </c>
      <c r="G20" s="7">
        <f t="shared" si="3"/>
        <v>0.45112781954887216</v>
      </c>
      <c r="H20" s="6">
        <f t="shared" si="4"/>
        <v>57.020573248407644</v>
      </c>
      <c r="I20" s="6">
        <f t="shared" si="5"/>
        <v>1.1404114649681529</v>
      </c>
    </row>
    <row r="21" spans="1:9" x14ac:dyDescent="0.25">
      <c r="A21" s="6">
        <v>3.4</v>
      </c>
      <c r="B21" s="6">
        <v>8</v>
      </c>
      <c r="C21" s="6">
        <v>50</v>
      </c>
      <c r="D21" s="6">
        <f>A21/10+0.25</f>
        <v>0.59</v>
      </c>
      <c r="E21" s="6">
        <f>20/B21</f>
        <v>2.5</v>
      </c>
      <c r="F21" s="6">
        <f>0.7-0.7/19*(E21-1)</f>
        <v>0.64473684210526316</v>
      </c>
      <c r="G21" s="7">
        <f>0.5-0.5/19*(E21-1)</f>
        <v>0.46052631578947367</v>
      </c>
      <c r="H21" s="6">
        <f>63.5*76*(1+F21^2*D21)/((E21+G21)*(1+D21)*20)</f>
        <v>63.833607966457052</v>
      </c>
      <c r="I21" s="6">
        <f>H21/C21</f>
        <v>1.276672159329141</v>
      </c>
    </row>
    <row r="22" spans="1:9" x14ac:dyDescent="0.25">
      <c r="A22" s="6">
        <v>3.6</v>
      </c>
      <c r="B22" s="6">
        <v>9</v>
      </c>
      <c r="C22" s="6">
        <v>50</v>
      </c>
      <c r="D22" s="6">
        <f>A22/10+0.25</f>
        <v>0.61</v>
      </c>
      <c r="E22" s="6">
        <f>20/B22</f>
        <v>2.2222222222222223</v>
      </c>
      <c r="F22" s="6">
        <f>0.7-0.7/19*(E22-1)</f>
        <v>0.65497076023391809</v>
      </c>
      <c r="G22" s="7">
        <f>0.5-0.5/19*(E22-1)</f>
        <v>0.46783625730994149</v>
      </c>
      <c r="H22" s="6">
        <f>63.5*76*(1+F22^2*D22)/((E22+G22)*(1+D22)*20)</f>
        <v>70.294216101059206</v>
      </c>
      <c r="I22" s="6">
        <f>H22/C22</f>
        <v>1.4058843220211841</v>
      </c>
    </row>
    <row r="23" spans="1:9" x14ac:dyDescent="0.25">
      <c r="A23" s="6">
        <v>3.8</v>
      </c>
      <c r="B23" s="6">
        <v>10</v>
      </c>
      <c r="C23" s="6">
        <v>50</v>
      </c>
      <c r="D23" s="6">
        <f>A23/10+0.25</f>
        <v>0.63</v>
      </c>
      <c r="E23" s="6">
        <f>20/B23</f>
        <v>2</v>
      </c>
      <c r="F23" s="6">
        <f>0.7-0.7/19*(E23-1)</f>
        <v>0.66315789473684206</v>
      </c>
      <c r="G23" s="7">
        <f>0.5-0.5/19*(E23-1)</f>
        <v>0.47368421052631582</v>
      </c>
      <c r="H23" s="6">
        <f>63.5*76*(1+F23^2*D23)/((E23+G23)*(1+D23)*20)</f>
        <v>76.425254666492606</v>
      </c>
      <c r="I23" s="6">
        <f>H23/C23</f>
        <v>1.5285050933298521</v>
      </c>
    </row>
    <row r="24" spans="1:9" x14ac:dyDescent="0.25">
      <c r="A24" s="6">
        <f>A23+0.2</f>
        <v>4</v>
      </c>
      <c r="B24" s="6">
        <v>9</v>
      </c>
      <c r="C24" s="6">
        <v>50</v>
      </c>
      <c r="D24" s="6">
        <f t="shared" ref="D24:D34" si="6">A24/10+0.25</f>
        <v>0.65</v>
      </c>
      <c r="E24" s="6">
        <f t="shared" ref="E24:E45" si="7">20/B24</f>
        <v>2.2222222222222223</v>
      </c>
      <c r="F24" s="6">
        <f t="shared" ref="F24:F45" si="8">0.7-0.7/19*(E24-1)</f>
        <v>0.65497076023391809</v>
      </c>
      <c r="G24" s="7">
        <f t="shared" ref="G24:G45" si="9">0.5-0.5/19*(E24-1)</f>
        <v>0.46783625730994149</v>
      </c>
      <c r="H24" s="6">
        <f t="shared" ref="H24:H45" si="10">63.5*76*(1+F24^2*D24)/((E24+G24)*(1+D24)*20)</f>
        <v>69.522971746450011</v>
      </c>
      <c r="I24" s="6">
        <f t="shared" ref="I24:I45" si="11">H24/C24</f>
        <v>1.3904594349290003</v>
      </c>
    </row>
    <row r="25" spans="1:9" x14ac:dyDescent="0.25">
      <c r="A25" s="6">
        <f t="shared" ref="A25:A41" si="12">A24+0.2</f>
        <v>4.2</v>
      </c>
      <c r="B25" s="6">
        <v>7</v>
      </c>
      <c r="C25" s="6">
        <v>50</v>
      </c>
      <c r="D25" s="6">
        <f t="shared" si="6"/>
        <v>0.67</v>
      </c>
      <c r="E25" s="6">
        <f t="shared" si="7"/>
        <v>2.8571428571428572</v>
      </c>
      <c r="F25" s="6">
        <f t="shared" si="8"/>
        <v>0.63157894736842102</v>
      </c>
      <c r="G25" s="7">
        <f t="shared" si="9"/>
        <v>0.45112781954887216</v>
      </c>
      <c r="H25" s="6">
        <f t="shared" si="10"/>
        <v>55.348356015242231</v>
      </c>
      <c r="I25" s="6">
        <f t="shared" si="11"/>
        <v>1.1069671203048446</v>
      </c>
    </row>
    <row r="26" spans="1:9" x14ac:dyDescent="0.25">
      <c r="A26" s="6">
        <f t="shared" si="12"/>
        <v>4.4000000000000004</v>
      </c>
      <c r="B26" s="6">
        <v>7</v>
      </c>
      <c r="C26" s="6">
        <v>50</v>
      </c>
      <c r="D26" s="6">
        <f t="shared" si="6"/>
        <v>0.69000000000000006</v>
      </c>
      <c r="E26" s="6">
        <f t="shared" si="7"/>
        <v>2.8571428571428572</v>
      </c>
      <c r="F26" s="6">
        <f t="shared" si="8"/>
        <v>0.63157894736842102</v>
      </c>
      <c r="G26" s="7">
        <f t="shared" si="9"/>
        <v>0.45112781954887216</v>
      </c>
      <c r="H26" s="6">
        <f t="shared" si="10"/>
        <v>55.037660032275411</v>
      </c>
      <c r="I26" s="6">
        <f t="shared" si="11"/>
        <v>1.1007532006455083</v>
      </c>
    </row>
    <row r="27" spans="1:9" x14ac:dyDescent="0.25">
      <c r="A27" s="6">
        <f t="shared" si="12"/>
        <v>4.6000000000000005</v>
      </c>
      <c r="B27" s="6">
        <v>8</v>
      </c>
      <c r="C27" s="6">
        <v>50</v>
      </c>
      <c r="D27" s="6">
        <f t="shared" si="6"/>
        <v>0.71000000000000008</v>
      </c>
      <c r="E27" s="6">
        <f t="shared" si="7"/>
        <v>2.5</v>
      </c>
      <c r="F27" s="6">
        <f t="shared" si="8"/>
        <v>0.64473684210526316</v>
      </c>
      <c r="G27" s="7">
        <f t="shared" si="9"/>
        <v>0.46052631578947367</v>
      </c>
      <c r="H27" s="6">
        <f t="shared" si="10"/>
        <v>61.731654970760246</v>
      </c>
      <c r="I27" s="6">
        <f t="shared" si="11"/>
        <v>1.2346330994152048</v>
      </c>
    </row>
    <row r="28" spans="1:9" x14ac:dyDescent="0.25">
      <c r="A28" s="6">
        <f t="shared" si="12"/>
        <v>4.8000000000000007</v>
      </c>
      <c r="B28" s="6">
        <v>7</v>
      </c>
      <c r="C28" s="6">
        <v>50</v>
      </c>
      <c r="D28" s="6">
        <f t="shared" si="6"/>
        <v>0.73000000000000009</v>
      </c>
      <c r="E28" s="6">
        <f t="shared" si="7"/>
        <v>2.8571428571428572</v>
      </c>
      <c r="F28" s="6">
        <f t="shared" si="8"/>
        <v>0.63157894736842102</v>
      </c>
      <c r="G28" s="7">
        <f t="shared" si="9"/>
        <v>0.45112781954887216</v>
      </c>
      <c r="H28" s="6">
        <f t="shared" si="10"/>
        <v>54.437819232790318</v>
      </c>
      <c r="I28" s="6">
        <f t="shared" si="11"/>
        <v>1.0887563846558064</v>
      </c>
    </row>
    <row r="29" spans="1:9" x14ac:dyDescent="0.25">
      <c r="A29" s="6">
        <f t="shared" si="12"/>
        <v>5.0000000000000009</v>
      </c>
      <c r="B29" s="6">
        <v>6</v>
      </c>
      <c r="C29" s="6">
        <v>50</v>
      </c>
      <c r="D29" s="6">
        <f t="shared" si="6"/>
        <v>0.75000000000000011</v>
      </c>
      <c r="E29" s="6">
        <f t="shared" si="7"/>
        <v>3.3333333333333335</v>
      </c>
      <c r="F29" s="6">
        <f t="shared" si="8"/>
        <v>0.61403508771929816</v>
      </c>
      <c r="G29" s="7">
        <f t="shared" si="9"/>
        <v>0.43859649122807015</v>
      </c>
      <c r="H29" s="6">
        <f t="shared" si="10"/>
        <v>46.892956810631226</v>
      </c>
      <c r="I29" s="6">
        <f t="shared" si="11"/>
        <v>0.93785913621262451</v>
      </c>
    </row>
    <row r="30" spans="1:9" x14ac:dyDescent="0.25">
      <c r="A30" s="6">
        <f t="shared" si="12"/>
        <v>5.2000000000000011</v>
      </c>
      <c r="B30" s="6">
        <v>7</v>
      </c>
      <c r="C30" s="6">
        <v>50</v>
      </c>
      <c r="D30" s="6">
        <f t="shared" si="6"/>
        <v>0.77000000000000013</v>
      </c>
      <c r="E30" s="6">
        <f t="shared" si="7"/>
        <v>2.8571428571428572</v>
      </c>
      <c r="F30" s="6">
        <f t="shared" si="8"/>
        <v>0.63157894736842102</v>
      </c>
      <c r="G30" s="7">
        <f t="shared" si="9"/>
        <v>0.45112781954887216</v>
      </c>
      <c r="H30" s="6">
        <f t="shared" si="10"/>
        <v>53.865089881869544</v>
      </c>
      <c r="I30" s="6">
        <f t="shared" si="11"/>
        <v>1.0773017976373909</v>
      </c>
    </row>
    <row r="31" spans="1:9" x14ac:dyDescent="0.25">
      <c r="A31" s="6">
        <f t="shared" si="12"/>
        <v>5.4000000000000012</v>
      </c>
      <c r="B31" s="6">
        <v>5</v>
      </c>
      <c r="C31" s="6">
        <v>50</v>
      </c>
      <c r="D31" s="6">
        <f t="shared" si="6"/>
        <v>0.79000000000000015</v>
      </c>
      <c r="E31" s="6">
        <f t="shared" si="7"/>
        <v>4</v>
      </c>
      <c r="F31" s="6">
        <f t="shared" si="8"/>
        <v>0.58947368421052626</v>
      </c>
      <c r="G31" s="7">
        <f t="shared" si="9"/>
        <v>0.42105263157894735</v>
      </c>
      <c r="H31" s="6">
        <f t="shared" si="10"/>
        <v>38.861662144187285</v>
      </c>
      <c r="I31" s="6">
        <f t="shared" si="11"/>
        <v>0.77723324288374573</v>
      </c>
    </row>
    <row r="32" spans="1:9" x14ac:dyDescent="0.25">
      <c r="A32" s="6">
        <f t="shared" si="12"/>
        <v>5.6000000000000014</v>
      </c>
      <c r="B32" s="6">
        <v>6</v>
      </c>
      <c r="C32" s="6">
        <v>50</v>
      </c>
      <c r="D32" s="6">
        <f t="shared" si="6"/>
        <v>0.81000000000000016</v>
      </c>
      <c r="E32" s="6">
        <f t="shared" si="7"/>
        <v>3.3333333333333335</v>
      </c>
      <c r="F32" s="6">
        <f t="shared" si="8"/>
        <v>0.61403508771929816</v>
      </c>
      <c r="G32" s="7">
        <f t="shared" si="9"/>
        <v>0.43859649122807015</v>
      </c>
      <c r="H32" s="6">
        <f t="shared" si="10"/>
        <v>46.138057304381334</v>
      </c>
      <c r="I32" s="6">
        <f t="shared" si="11"/>
        <v>0.92276114608762672</v>
      </c>
    </row>
    <row r="33" spans="1:9" x14ac:dyDescent="0.25">
      <c r="A33" s="6">
        <f t="shared" si="12"/>
        <v>5.8000000000000016</v>
      </c>
      <c r="B33" s="6">
        <v>7</v>
      </c>
      <c r="C33" s="6">
        <v>50</v>
      </c>
      <c r="D33" s="6">
        <f t="shared" si="6"/>
        <v>0.83000000000000018</v>
      </c>
      <c r="E33" s="6">
        <f t="shared" si="7"/>
        <v>2.8571428571428572</v>
      </c>
      <c r="F33" s="6">
        <f t="shared" si="8"/>
        <v>0.63157894736842102</v>
      </c>
      <c r="G33" s="7">
        <f t="shared" si="9"/>
        <v>0.45112781954887216</v>
      </c>
      <c r="H33" s="6">
        <f t="shared" si="10"/>
        <v>53.052940884252358</v>
      </c>
      <c r="I33" s="6">
        <f t="shared" si="11"/>
        <v>1.0610588176850471</v>
      </c>
    </row>
    <row r="34" spans="1:9" x14ac:dyDescent="0.25">
      <c r="A34" s="6">
        <f t="shared" si="12"/>
        <v>6.0000000000000018</v>
      </c>
      <c r="B34" s="6">
        <v>7</v>
      </c>
      <c r="C34" s="6">
        <v>50</v>
      </c>
      <c r="D34" s="6">
        <f t="shared" si="6"/>
        <v>0.8500000000000002</v>
      </c>
      <c r="E34" s="6">
        <f t="shared" si="7"/>
        <v>2.8571428571428572</v>
      </c>
      <c r="F34" s="6">
        <f t="shared" si="8"/>
        <v>0.63157894736842102</v>
      </c>
      <c r="G34" s="7">
        <f t="shared" si="9"/>
        <v>0.45112781954887216</v>
      </c>
      <c r="H34" s="6">
        <f t="shared" si="10"/>
        <v>52.793931203931201</v>
      </c>
      <c r="I34" s="6">
        <f t="shared" si="11"/>
        <v>1.055878624078624</v>
      </c>
    </row>
    <row r="35" spans="1:9" x14ac:dyDescent="0.25">
      <c r="A35" s="6">
        <f>A34+0.2</f>
        <v>6.200000000000002</v>
      </c>
      <c r="B35" s="6">
        <v>8</v>
      </c>
      <c r="C35" s="6">
        <v>50</v>
      </c>
      <c r="D35" s="6">
        <f>A35/10+0.25</f>
        <v>0.87000000000000022</v>
      </c>
      <c r="E35" s="6">
        <f t="shared" si="7"/>
        <v>2.5</v>
      </c>
      <c r="F35" s="6">
        <f t="shared" si="8"/>
        <v>0.64473684210526316</v>
      </c>
      <c r="G35" s="7">
        <f t="shared" si="9"/>
        <v>0.46052631578947367</v>
      </c>
      <c r="H35" s="6">
        <f t="shared" si="10"/>
        <v>59.348692216280455</v>
      </c>
      <c r="I35" s="6">
        <f t="shared" si="11"/>
        <v>1.186973844325609</v>
      </c>
    </row>
    <row r="36" spans="1:9" x14ac:dyDescent="0.25">
      <c r="A36" s="6">
        <f>A35+0.2</f>
        <v>6.4000000000000021</v>
      </c>
      <c r="B36" s="6">
        <v>9</v>
      </c>
      <c r="C36" s="6">
        <v>50</v>
      </c>
      <c r="D36" s="6">
        <f>A36/10+0.25</f>
        <v>0.89000000000000024</v>
      </c>
      <c r="E36" s="6">
        <f t="shared" si="7"/>
        <v>2.2222222222222223</v>
      </c>
      <c r="F36" s="6">
        <f t="shared" si="8"/>
        <v>0.65497076023391809</v>
      </c>
      <c r="G36" s="7">
        <f t="shared" si="9"/>
        <v>0.46783625730994149</v>
      </c>
      <c r="H36" s="6">
        <f t="shared" si="10"/>
        <v>65.58105615622523</v>
      </c>
      <c r="I36" s="6">
        <f t="shared" si="11"/>
        <v>1.3116211231245045</v>
      </c>
    </row>
    <row r="37" spans="1:9" x14ac:dyDescent="0.25">
      <c r="A37" s="6">
        <f>A36+0.2</f>
        <v>6.6000000000000023</v>
      </c>
      <c r="B37" s="6">
        <v>7</v>
      </c>
      <c r="C37" s="6">
        <v>50</v>
      </c>
      <c r="D37" s="6">
        <f>A37/10+0.25</f>
        <v>0.91000000000000025</v>
      </c>
      <c r="E37" s="6">
        <f t="shared" si="7"/>
        <v>2.8571428571428572</v>
      </c>
      <c r="F37" s="6">
        <f t="shared" si="8"/>
        <v>0.63157894736842102</v>
      </c>
      <c r="G37" s="7">
        <f t="shared" si="9"/>
        <v>0.45112781954887216</v>
      </c>
      <c r="H37" s="6">
        <f t="shared" si="10"/>
        <v>52.049447881960972</v>
      </c>
      <c r="I37" s="6">
        <f t="shared" si="11"/>
        <v>1.0409889576392195</v>
      </c>
    </row>
    <row r="38" spans="1:9" x14ac:dyDescent="0.25">
      <c r="A38" s="6">
        <f>A37+0.2</f>
        <v>6.8000000000000025</v>
      </c>
      <c r="B38" s="6">
        <v>8</v>
      </c>
      <c r="C38" s="6">
        <v>50</v>
      </c>
      <c r="D38" s="6">
        <f>A38/10+0.25</f>
        <v>0.93000000000000027</v>
      </c>
      <c r="E38" s="6">
        <f t="shared" si="7"/>
        <v>2.5</v>
      </c>
      <c r="F38" s="6">
        <f t="shared" si="8"/>
        <v>0.64473684210526316</v>
      </c>
      <c r="G38" s="7">
        <f t="shared" si="9"/>
        <v>0.46052631578947367</v>
      </c>
      <c r="H38" s="6">
        <f t="shared" si="10"/>
        <v>58.556943580886582</v>
      </c>
      <c r="I38" s="6">
        <f t="shared" si="11"/>
        <v>1.1711388716177316</v>
      </c>
    </row>
    <row r="39" spans="1:9" x14ac:dyDescent="0.25">
      <c r="A39" s="6">
        <f t="shared" si="12"/>
        <v>7.0000000000000027</v>
      </c>
      <c r="B39" s="6">
        <v>11</v>
      </c>
      <c r="C39" s="6">
        <v>50</v>
      </c>
      <c r="D39" s="6">
        <f t="shared" ref="D39:D45" si="13">A39/10+0.25</f>
        <v>0.95000000000000029</v>
      </c>
      <c r="E39" s="6">
        <f t="shared" si="7"/>
        <v>1.8181818181818181</v>
      </c>
      <c r="F39" s="6">
        <f t="shared" si="8"/>
        <v>0.66985645933014348</v>
      </c>
      <c r="G39" s="7">
        <f t="shared" si="9"/>
        <v>0.4784688995215311</v>
      </c>
      <c r="H39" s="6">
        <f t="shared" si="10"/>
        <v>76.847581585081585</v>
      </c>
      <c r="I39" s="6">
        <f t="shared" si="11"/>
        <v>1.5369516317016316</v>
      </c>
    </row>
    <row r="40" spans="1:9" x14ac:dyDescent="0.25">
      <c r="A40" s="6">
        <f t="shared" si="12"/>
        <v>7.2000000000000028</v>
      </c>
      <c r="B40" s="6">
        <v>16</v>
      </c>
      <c r="C40" s="6">
        <v>50</v>
      </c>
      <c r="D40" s="6">
        <f t="shared" si="13"/>
        <v>0.97000000000000031</v>
      </c>
      <c r="E40" s="6">
        <f t="shared" si="7"/>
        <v>1.25</v>
      </c>
      <c r="F40" s="6">
        <f t="shared" si="8"/>
        <v>0.69078947368421051</v>
      </c>
      <c r="G40" s="7">
        <f t="shared" si="9"/>
        <v>0.49342105263157893</v>
      </c>
      <c r="H40" s="6">
        <f t="shared" si="10"/>
        <v>102.77697897710947</v>
      </c>
      <c r="I40" s="6">
        <f t="shared" si="11"/>
        <v>2.0555395795421894</v>
      </c>
    </row>
    <row r="41" spans="1:9" x14ac:dyDescent="0.25">
      <c r="A41" s="6">
        <f t="shared" si="12"/>
        <v>7.400000000000003</v>
      </c>
      <c r="B41" s="6">
        <v>17</v>
      </c>
      <c r="C41" s="6">
        <v>50</v>
      </c>
      <c r="D41" s="6">
        <f t="shared" si="13"/>
        <v>0.99000000000000032</v>
      </c>
      <c r="E41" s="6">
        <f t="shared" si="7"/>
        <v>1.1764705882352942</v>
      </c>
      <c r="F41" s="6">
        <f t="shared" si="8"/>
        <v>0.6934984520123838</v>
      </c>
      <c r="G41" s="7">
        <f t="shared" si="9"/>
        <v>0.49535603715170279</v>
      </c>
      <c r="H41" s="6">
        <f t="shared" si="10"/>
        <v>107.06260868613218</v>
      </c>
      <c r="I41" s="6">
        <f t="shared" si="11"/>
        <v>2.1412521737226435</v>
      </c>
    </row>
    <row r="42" spans="1:9" x14ac:dyDescent="0.25">
      <c r="A42" s="6">
        <f>A41+0.2</f>
        <v>7.6000000000000032</v>
      </c>
      <c r="B42" s="6">
        <v>18</v>
      </c>
      <c r="C42" s="6">
        <v>50</v>
      </c>
      <c r="D42" s="6">
        <f t="shared" si="13"/>
        <v>1.0100000000000002</v>
      </c>
      <c r="E42" s="6">
        <f t="shared" si="7"/>
        <v>1.1111111111111112</v>
      </c>
      <c r="F42" s="6">
        <f t="shared" si="8"/>
        <v>0.69590643274853792</v>
      </c>
      <c r="G42" s="7">
        <f t="shared" si="9"/>
        <v>0.49707602339181284</v>
      </c>
      <c r="H42" s="6">
        <f t="shared" si="10"/>
        <v>111.16213819789938</v>
      </c>
      <c r="I42" s="6">
        <f t="shared" si="11"/>
        <v>2.2232427639579875</v>
      </c>
    </row>
    <row r="43" spans="1:9" x14ac:dyDescent="0.25">
      <c r="A43" s="6">
        <f t="shared" ref="A43:A45" si="14">A42+0.2</f>
        <v>7.8000000000000034</v>
      </c>
      <c r="B43" s="6">
        <v>31</v>
      </c>
      <c r="C43" s="6">
        <v>50</v>
      </c>
      <c r="D43" s="6">
        <f t="shared" si="13"/>
        <v>1.0300000000000002</v>
      </c>
      <c r="E43" s="6">
        <f t="shared" si="7"/>
        <v>0.64516129032258063</v>
      </c>
      <c r="F43" s="6">
        <f t="shared" si="8"/>
        <v>0.71307300509337856</v>
      </c>
      <c r="G43" s="7">
        <f t="shared" si="9"/>
        <v>0.50933786078098475</v>
      </c>
      <c r="H43" s="6">
        <f t="shared" si="10"/>
        <v>156.88264972284796</v>
      </c>
      <c r="I43" s="6">
        <f t="shared" si="11"/>
        <v>3.1376529944569591</v>
      </c>
    </row>
    <row r="44" spans="1:9" x14ac:dyDescent="0.25">
      <c r="A44" s="6">
        <f t="shared" si="14"/>
        <v>8.0000000000000036</v>
      </c>
      <c r="B44" s="6">
        <v>52</v>
      </c>
      <c r="C44" s="6">
        <v>50</v>
      </c>
      <c r="D44" s="6">
        <f t="shared" si="13"/>
        <v>1.0500000000000003</v>
      </c>
      <c r="E44" s="6">
        <f t="shared" si="7"/>
        <v>0.38461538461538464</v>
      </c>
      <c r="F44" s="6">
        <f t="shared" si="8"/>
        <v>0.72267206477732793</v>
      </c>
      <c r="G44" s="7">
        <f t="shared" si="9"/>
        <v>0.51619433198380571</v>
      </c>
      <c r="H44" s="6">
        <f t="shared" si="10"/>
        <v>202.32264329531793</v>
      </c>
      <c r="I44" s="6">
        <f t="shared" si="11"/>
        <v>4.0464528659063586</v>
      </c>
    </row>
    <row r="45" spans="1:9" x14ac:dyDescent="0.25">
      <c r="A45" s="6">
        <f t="shared" si="14"/>
        <v>8.2000000000000028</v>
      </c>
      <c r="B45" s="6">
        <v>100</v>
      </c>
      <c r="C45" s="6">
        <v>50</v>
      </c>
      <c r="D45" s="6">
        <f t="shared" si="13"/>
        <v>1.0700000000000003</v>
      </c>
      <c r="E45" s="6">
        <f t="shared" si="7"/>
        <v>0.2</v>
      </c>
      <c r="F45" s="6">
        <f t="shared" si="8"/>
        <v>0.72947368421052627</v>
      </c>
      <c r="G45" s="7">
        <f t="shared" si="9"/>
        <v>0.52105263157894732</v>
      </c>
      <c r="H45" s="6">
        <f t="shared" si="10"/>
        <v>253.71633218378639</v>
      </c>
      <c r="I45" s="6">
        <f t="shared" si="11"/>
        <v>5.0743266436757279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P-01</vt:lpstr>
      <vt:lpstr>P-02</vt:lpstr>
    </vt:vector>
  </TitlesOfParts>
  <Company>CEMOSA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LEYVA CAMPOS</dc:creator>
  <cp:lastModifiedBy>Germán  López Pineda</cp:lastModifiedBy>
  <cp:lastPrinted>2002-06-21T10:44:07Z</cp:lastPrinted>
  <dcterms:created xsi:type="dcterms:W3CDTF">1998-07-07T15:45:56Z</dcterms:created>
  <dcterms:modified xsi:type="dcterms:W3CDTF">2026-02-03T21:28:17Z</dcterms:modified>
</cp:coreProperties>
</file>