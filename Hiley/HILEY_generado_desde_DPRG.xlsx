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-01" sheetId="1" state="visible" r:id="rId1"/>
    <sheet xmlns:r="http://schemas.openxmlformats.org/officeDocument/2006/relationships" name="P-02" sheetId="2" state="visible" r:id="rId2"/>
  </sheets>
  <definedNames>
    <definedName name="_xlnm.Print_Titles" localSheetId="0">'P-01'!$1:$2</definedName>
    <definedName name="_xlnm.Print_Titles" localSheetId="1">'P-02'!$1:$2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6" customWidth="1" min="3" max="3"/>
    <col width="8" customWidth="1" min="4" max="4"/>
    <col width="8" customWidth="1" min="5" max="5"/>
    <col width="8" customWidth="1" min="6" max="6"/>
    <col width="8" customWidth="1" min="7" max="7"/>
    <col width="30" customWidth="1" min="8" max="8"/>
    <col width="28" customWidth="1" min="9" max="9"/>
  </cols>
  <sheetData>
    <row r="1" ht="26" customHeight="1">
      <c r="A1" s="1" t="inlineStr">
        <is>
          <t>Cálculo Hiley - P-01</t>
        </is>
      </c>
    </row>
    <row r="2" ht="32" customHeight="1">
      <c r="A2" s="2" t="inlineStr">
        <is>
          <t>Z(m)</t>
        </is>
      </c>
      <c r="B2" s="2" t="inlineStr">
        <is>
          <t>N(20)</t>
        </is>
      </c>
      <c r="C2" s="2" t="inlineStr">
        <is>
          <t>F</t>
        </is>
      </c>
      <c r="D2" s="2" t="inlineStr">
        <is>
          <t>a</t>
        </is>
      </c>
      <c r="E2" s="2" t="inlineStr">
        <is>
          <t>e</t>
        </is>
      </c>
      <c r="F2" s="2" t="inlineStr">
        <is>
          <t>n</t>
        </is>
      </c>
      <c r="G2" s="2" t="inlineStr">
        <is>
          <t>c</t>
        </is>
      </c>
      <c r="H2" s="2" t="inlineStr">
        <is>
          <t>Presión Característica (kg/cm2)</t>
        </is>
      </c>
      <c r="I2" s="2" t="inlineStr">
        <is>
          <t>Presión Admisible (kg/cm2)</t>
        </is>
      </c>
    </row>
    <row r="3">
      <c r="A3" s="3" t="n">
        <v>0.2</v>
      </c>
      <c r="B3" s="4" t="n">
        <v>4</v>
      </c>
      <c r="C3" s="4" t="n">
        <v>50</v>
      </c>
      <c r="D3" s="5">
        <f>A3/10+0.25</f>
        <v/>
      </c>
      <c r="E3" s="5">
        <f>20/B3</f>
        <v/>
      </c>
      <c r="F3" s="5">
        <f>0.7-0.7/19*(E3-1)</f>
        <v/>
      </c>
      <c r="G3" s="5">
        <f>0.5-0.5/19*(E3-1)</f>
        <v/>
      </c>
      <c r="H3" s="6">
        <f>63.5*76*(1+F3^2*D3)/((E3+G3)*(1+D3)*20)</f>
        <v/>
      </c>
      <c r="I3" s="6">
        <f>H3/C3</f>
        <v/>
      </c>
    </row>
    <row r="4">
      <c r="A4" s="3" t="n">
        <v>0.4</v>
      </c>
      <c r="B4" s="4" t="n">
        <v>6</v>
      </c>
      <c r="C4" s="4" t="n">
        <v>50</v>
      </c>
      <c r="D4" s="5">
        <f>A4/10+0.25</f>
        <v/>
      </c>
      <c r="E4" s="5">
        <f>20/B4</f>
        <v/>
      </c>
      <c r="F4" s="5">
        <f>0.7-0.7/19*(E4-1)</f>
        <v/>
      </c>
      <c r="G4" s="5">
        <f>0.5-0.5/19*(E4-1)</f>
        <v/>
      </c>
      <c r="H4" s="6">
        <f>63.5*76*(1+F4^2*D4)/((E4+G4)*(1+D4)*20)</f>
        <v/>
      </c>
      <c r="I4" s="6">
        <f>H4/C4</f>
        <v/>
      </c>
    </row>
    <row r="5">
      <c r="A5" s="3" t="n">
        <v>0.6</v>
      </c>
      <c r="B5" s="4" t="n">
        <v>5</v>
      </c>
      <c r="C5" s="4" t="n">
        <v>50</v>
      </c>
      <c r="D5" s="5">
        <f>A5/10+0.25</f>
        <v/>
      </c>
      <c r="E5" s="5">
        <f>20/B5</f>
        <v/>
      </c>
      <c r="F5" s="5">
        <f>0.7-0.7/19*(E5-1)</f>
        <v/>
      </c>
      <c r="G5" s="5">
        <f>0.5-0.5/19*(E5-1)</f>
        <v/>
      </c>
      <c r="H5" s="6">
        <f>63.5*76*(1+F5^2*D5)/((E5+G5)*(1+D5)*20)</f>
        <v/>
      </c>
      <c r="I5" s="6">
        <f>H5/C5</f>
        <v/>
      </c>
    </row>
    <row r="6">
      <c r="A6" s="3" t="n">
        <v>0.8</v>
      </c>
      <c r="B6" s="4" t="n">
        <v>5</v>
      </c>
      <c r="C6" s="4" t="n">
        <v>50</v>
      </c>
      <c r="D6" s="5">
        <f>A6/10+0.25</f>
        <v/>
      </c>
      <c r="E6" s="5">
        <f>20/B6</f>
        <v/>
      </c>
      <c r="F6" s="5">
        <f>0.7-0.7/19*(E6-1)</f>
        <v/>
      </c>
      <c r="G6" s="5">
        <f>0.5-0.5/19*(E6-1)</f>
        <v/>
      </c>
      <c r="H6" s="6">
        <f>63.5*76*(1+F6^2*D6)/((E6+G6)*(1+D6)*20)</f>
        <v/>
      </c>
      <c r="I6" s="6">
        <f>H6/C6</f>
        <v/>
      </c>
    </row>
    <row r="7">
      <c r="A7" s="3" t="n">
        <v>1</v>
      </c>
      <c r="B7" s="4" t="n">
        <v>6</v>
      </c>
      <c r="C7" s="4" t="n">
        <v>50</v>
      </c>
      <c r="D7" s="5">
        <f>A7/10+0.25</f>
        <v/>
      </c>
      <c r="E7" s="5">
        <f>20/B7</f>
        <v/>
      </c>
      <c r="F7" s="5">
        <f>0.7-0.7/19*(E7-1)</f>
        <v/>
      </c>
      <c r="G7" s="5">
        <f>0.5-0.5/19*(E7-1)</f>
        <v/>
      </c>
      <c r="H7" s="6">
        <f>63.5*76*(1+F7^2*D7)/((E7+G7)*(1+D7)*20)</f>
        <v/>
      </c>
      <c r="I7" s="6">
        <f>H7/C7</f>
        <v/>
      </c>
    </row>
    <row r="8">
      <c r="A8" s="3" t="n">
        <v>1.2</v>
      </c>
      <c r="B8" s="4" t="n">
        <v>5</v>
      </c>
      <c r="C8" s="4" t="n">
        <v>50</v>
      </c>
      <c r="D8" s="5">
        <f>A8/10+0.25</f>
        <v/>
      </c>
      <c r="E8" s="5">
        <f>20/B8</f>
        <v/>
      </c>
      <c r="F8" s="5">
        <f>0.7-0.7/19*(E8-1)</f>
        <v/>
      </c>
      <c r="G8" s="5">
        <f>0.5-0.5/19*(E8-1)</f>
        <v/>
      </c>
      <c r="H8" s="6">
        <f>63.5*76*(1+F8^2*D8)/((E8+G8)*(1+D8)*20)</f>
        <v/>
      </c>
      <c r="I8" s="6">
        <f>H8/C8</f>
        <v/>
      </c>
    </row>
    <row r="9">
      <c r="A9" s="3" t="n">
        <v>1.4</v>
      </c>
      <c r="B9" s="4" t="n">
        <v>6</v>
      </c>
      <c r="C9" s="4" t="n">
        <v>50</v>
      </c>
      <c r="D9" s="5">
        <f>A9/10+0.25</f>
        <v/>
      </c>
      <c r="E9" s="5">
        <f>20/B9</f>
        <v/>
      </c>
      <c r="F9" s="5">
        <f>0.7-0.7/19*(E9-1)</f>
        <v/>
      </c>
      <c r="G9" s="5">
        <f>0.5-0.5/19*(E9-1)</f>
        <v/>
      </c>
      <c r="H9" s="6">
        <f>63.5*76*(1+F9^2*D9)/((E9+G9)*(1+D9)*20)</f>
        <v/>
      </c>
      <c r="I9" s="6">
        <f>H9/C9</f>
        <v/>
      </c>
    </row>
    <row r="10">
      <c r="A10" s="3" t="n">
        <v>1.6</v>
      </c>
      <c r="B10" s="4" t="n">
        <v>5</v>
      </c>
      <c r="C10" s="4" t="n">
        <v>50</v>
      </c>
      <c r="D10" s="5">
        <f>A10/10+0.25</f>
        <v/>
      </c>
      <c r="E10" s="5">
        <f>20/B10</f>
        <v/>
      </c>
      <c r="F10" s="5">
        <f>0.7-0.7/19*(E10-1)</f>
        <v/>
      </c>
      <c r="G10" s="5">
        <f>0.5-0.5/19*(E10-1)</f>
        <v/>
      </c>
      <c r="H10" s="6">
        <f>63.5*76*(1+F10^2*D10)/((E10+G10)*(1+D10)*20)</f>
        <v/>
      </c>
      <c r="I10" s="6">
        <f>H10/C10</f>
        <v/>
      </c>
    </row>
    <row r="11">
      <c r="A11" s="3" t="n">
        <v>1.8</v>
      </c>
      <c r="B11" s="4" t="n">
        <v>6</v>
      </c>
      <c r="C11" s="4" t="n">
        <v>50</v>
      </c>
      <c r="D11" s="5">
        <f>A11/10+0.25</f>
        <v/>
      </c>
      <c r="E11" s="5">
        <f>20/B11</f>
        <v/>
      </c>
      <c r="F11" s="5">
        <f>0.7-0.7/19*(E11-1)</f>
        <v/>
      </c>
      <c r="G11" s="5">
        <f>0.5-0.5/19*(E11-1)</f>
        <v/>
      </c>
      <c r="H11" s="6">
        <f>63.5*76*(1+F11^2*D11)/((E11+G11)*(1+D11)*20)</f>
        <v/>
      </c>
      <c r="I11" s="6">
        <f>H11/C11</f>
        <v/>
      </c>
    </row>
    <row r="12">
      <c r="A12" s="3" t="n">
        <v>2</v>
      </c>
      <c r="B12" s="4" t="n">
        <v>6</v>
      </c>
      <c r="C12" s="4" t="n">
        <v>50</v>
      </c>
      <c r="D12" s="5">
        <f>A12/10+0.25</f>
        <v/>
      </c>
      <c r="E12" s="5">
        <f>20/B12</f>
        <v/>
      </c>
      <c r="F12" s="5">
        <f>0.7-0.7/19*(E12-1)</f>
        <v/>
      </c>
      <c r="G12" s="5">
        <f>0.5-0.5/19*(E12-1)</f>
        <v/>
      </c>
      <c r="H12" s="6">
        <f>63.5*76*(1+F12^2*D12)/((E12+G12)*(1+D12)*20)</f>
        <v/>
      </c>
      <c r="I12" s="6">
        <f>H12/C12</f>
        <v/>
      </c>
    </row>
    <row r="13">
      <c r="A13" s="3" t="n">
        <v>2.2</v>
      </c>
      <c r="B13" s="4" t="n">
        <v>6</v>
      </c>
      <c r="C13" s="4" t="n">
        <v>50</v>
      </c>
      <c r="D13" s="5">
        <f>A13/10+0.25</f>
        <v/>
      </c>
      <c r="E13" s="5">
        <f>20/B13</f>
        <v/>
      </c>
      <c r="F13" s="5">
        <f>0.7-0.7/19*(E13-1)</f>
        <v/>
      </c>
      <c r="G13" s="5">
        <f>0.5-0.5/19*(E13-1)</f>
        <v/>
      </c>
      <c r="H13" s="6">
        <f>63.5*76*(1+F13^2*D13)/((E13+G13)*(1+D13)*20)</f>
        <v/>
      </c>
      <c r="I13" s="6">
        <f>H13/C13</f>
        <v/>
      </c>
    </row>
    <row r="14">
      <c r="A14" s="3" t="n">
        <v>2.4</v>
      </c>
      <c r="B14" s="4" t="n">
        <v>6</v>
      </c>
      <c r="C14" s="4" t="n">
        <v>50</v>
      </c>
      <c r="D14" s="5">
        <f>A14/10+0.25</f>
        <v/>
      </c>
      <c r="E14" s="5">
        <f>20/B14</f>
        <v/>
      </c>
      <c r="F14" s="5">
        <f>0.7-0.7/19*(E14-1)</f>
        <v/>
      </c>
      <c r="G14" s="5">
        <f>0.5-0.5/19*(E14-1)</f>
        <v/>
      </c>
      <c r="H14" s="6">
        <f>63.5*76*(1+F14^2*D14)/((E14+G14)*(1+D14)*20)</f>
        <v/>
      </c>
      <c r="I14" s="6">
        <f>H14/C14</f>
        <v/>
      </c>
    </row>
    <row r="15">
      <c r="A15" s="3" t="n">
        <v>2.6</v>
      </c>
      <c r="B15" s="4" t="n">
        <v>7</v>
      </c>
      <c r="C15" s="4" t="n">
        <v>50</v>
      </c>
      <c r="D15" s="5">
        <f>A15/10+0.25</f>
        <v/>
      </c>
      <c r="E15" s="5">
        <f>20/B15</f>
        <v/>
      </c>
      <c r="F15" s="5">
        <f>0.7-0.7/19*(E15-1)</f>
        <v/>
      </c>
      <c r="G15" s="5">
        <f>0.5-0.5/19*(E15-1)</f>
        <v/>
      </c>
      <c r="H15" s="6">
        <f>63.5*76*(1+F15^2*D15)/((E15+G15)*(1+D15)*20)</f>
        <v/>
      </c>
      <c r="I15" s="6">
        <f>H15/C15</f>
        <v/>
      </c>
    </row>
    <row r="16">
      <c r="A16" s="3" t="n">
        <v>2.8</v>
      </c>
      <c r="B16" s="4" t="n">
        <v>6</v>
      </c>
      <c r="C16" s="4" t="n">
        <v>50</v>
      </c>
      <c r="D16" s="5">
        <f>A16/10+0.25</f>
        <v/>
      </c>
      <c r="E16" s="5">
        <f>20/B16</f>
        <v/>
      </c>
      <c r="F16" s="5">
        <f>0.7-0.7/19*(E16-1)</f>
        <v/>
      </c>
      <c r="G16" s="5">
        <f>0.5-0.5/19*(E16-1)</f>
        <v/>
      </c>
      <c r="H16" s="6">
        <f>63.5*76*(1+F16^2*D16)/((E16+G16)*(1+D16)*20)</f>
        <v/>
      </c>
      <c r="I16" s="6">
        <f>H16/C16</f>
        <v/>
      </c>
    </row>
    <row r="17">
      <c r="A17" s="3" t="n">
        <v>3</v>
      </c>
      <c r="B17" s="4" t="n">
        <v>6</v>
      </c>
      <c r="C17" s="4" t="n">
        <v>50</v>
      </c>
      <c r="D17" s="5">
        <f>A17/10+0.25</f>
        <v/>
      </c>
      <c r="E17" s="5">
        <f>20/B17</f>
        <v/>
      </c>
      <c r="F17" s="5">
        <f>0.7-0.7/19*(E17-1)</f>
        <v/>
      </c>
      <c r="G17" s="5">
        <f>0.5-0.5/19*(E17-1)</f>
        <v/>
      </c>
      <c r="H17" s="6">
        <f>63.5*76*(1+F17^2*D17)/((E17+G17)*(1+D17)*20)</f>
        <v/>
      </c>
      <c r="I17" s="6">
        <f>H17/C17</f>
        <v/>
      </c>
    </row>
    <row r="18">
      <c r="A18" s="3" t="n">
        <v>3.2</v>
      </c>
      <c r="B18" s="4" t="n">
        <v>7</v>
      </c>
      <c r="C18" s="4" t="n">
        <v>50</v>
      </c>
      <c r="D18" s="5">
        <f>A18/10+0.25</f>
        <v/>
      </c>
      <c r="E18" s="5">
        <f>20/B18</f>
        <v/>
      </c>
      <c r="F18" s="5">
        <f>0.7-0.7/19*(E18-1)</f>
        <v/>
      </c>
      <c r="G18" s="5">
        <f>0.5-0.5/19*(E18-1)</f>
        <v/>
      </c>
      <c r="H18" s="6">
        <f>63.5*76*(1+F18^2*D18)/((E18+G18)*(1+D18)*20)</f>
        <v/>
      </c>
      <c r="I18" s="6">
        <f>H18/C18</f>
        <v/>
      </c>
    </row>
    <row r="19">
      <c r="A19" s="3" t="n">
        <v>3.4</v>
      </c>
      <c r="B19" s="4" t="n">
        <v>6</v>
      </c>
      <c r="C19" s="4" t="n">
        <v>50</v>
      </c>
      <c r="D19" s="5">
        <f>A19/10+0.25</f>
        <v/>
      </c>
      <c r="E19" s="5">
        <f>20/B19</f>
        <v/>
      </c>
      <c r="F19" s="5">
        <f>0.7-0.7/19*(E19-1)</f>
        <v/>
      </c>
      <c r="G19" s="5">
        <f>0.5-0.5/19*(E19-1)</f>
        <v/>
      </c>
      <c r="H19" s="6">
        <f>63.5*76*(1+F19^2*D19)/((E19+G19)*(1+D19)*20)</f>
        <v/>
      </c>
      <c r="I19" s="6">
        <f>H19/C19</f>
        <v/>
      </c>
    </row>
    <row r="20">
      <c r="A20" s="3" t="n">
        <v>3.6</v>
      </c>
      <c r="B20" s="4" t="n">
        <v>7</v>
      </c>
      <c r="C20" s="4" t="n">
        <v>50</v>
      </c>
      <c r="D20" s="5">
        <f>A20/10+0.25</f>
        <v/>
      </c>
      <c r="E20" s="5">
        <f>20/B20</f>
        <v/>
      </c>
      <c r="F20" s="5">
        <f>0.7-0.7/19*(E20-1)</f>
        <v/>
      </c>
      <c r="G20" s="5">
        <f>0.5-0.5/19*(E20-1)</f>
        <v/>
      </c>
      <c r="H20" s="6">
        <f>63.5*76*(1+F20^2*D20)/((E20+G20)*(1+D20)*20)</f>
        <v/>
      </c>
      <c r="I20" s="6">
        <f>H20/C20</f>
        <v/>
      </c>
    </row>
    <row r="21">
      <c r="A21" s="3" t="n">
        <v>3.8</v>
      </c>
      <c r="B21" s="4" t="n">
        <v>6</v>
      </c>
      <c r="C21" s="4" t="n">
        <v>50</v>
      </c>
      <c r="D21" s="5">
        <f>A21/10+0.25</f>
        <v/>
      </c>
      <c r="E21" s="5">
        <f>20/B21</f>
        <v/>
      </c>
      <c r="F21" s="5">
        <f>0.7-0.7/19*(E21-1)</f>
        <v/>
      </c>
      <c r="G21" s="5">
        <f>0.5-0.5/19*(E21-1)</f>
        <v/>
      </c>
      <c r="H21" s="6">
        <f>63.5*76*(1+F21^2*D21)/((E21+G21)*(1+D21)*20)</f>
        <v/>
      </c>
      <c r="I21" s="6">
        <f>H21/C21</f>
        <v/>
      </c>
    </row>
    <row r="22">
      <c r="A22" s="3" t="n">
        <v>4</v>
      </c>
      <c r="B22" s="4" t="n">
        <v>7</v>
      </c>
      <c r="C22" s="4" t="n">
        <v>50</v>
      </c>
      <c r="D22" s="5">
        <f>A22/10+0.25</f>
        <v/>
      </c>
      <c r="E22" s="5">
        <f>20/B22</f>
        <v/>
      </c>
      <c r="F22" s="5">
        <f>0.7-0.7/19*(E22-1)</f>
        <v/>
      </c>
      <c r="G22" s="5">
        <f>0.5-0.5/19*(E22-1)</f>
        <v/>
      </c>
      <c r="H22" s="6">
        <f>63.5*76*(1+F22^2*D22)/((E22+G22)*(1+D22)*20)</f>
        <v/>
      </c>
      <c r="I22" s="6">
        <f>H22/C22</f>
        <v/>
      </c>
    </row>
    <row r="23">
      <c r="A23" s="3" t="n">
        <v>4.2</v>
      </c>
      <c r="B23" s="4" t="n">
        <v>7</v>
      </c>
      <c r="C23" s="4" t="n">
        <v>50</v>
      </c>
      <c r="D23" s="5">
        <f>A23/10+0.25</f>
        <v/>
      </c>
      <c r="E23" s="5">
        <f>20/B23</f>
        <v/>
      </c>
      <c r="F23" s="5">
        <f>0.7-0.7/19*(E23-1)</f>
        <v/>
      </c>
      <c r="G23" s="5">
        <f>0.5-0.5/19*(E23-1)</f>
        <v/>
      </c>
      <c r="H23" s="6">
        <f>63.5*76*(1+F23^2*D23)/((E23+G23)*(1+D23)*20)</f>
        <v/>
      </c>
      <c r="I23" s="6">
        <f>H23/C23</f>
        <v/>
      </c>
    </row>
    <row r="24">
      <c r="A24" s="3" t="n">
        <v>4.4</v>
      </c>
      <c r="B24" s="4" t="n">
        <v>8</v>
      </c>
      <c r="C24" s="4" t="n">
        <v>50</v>
      </c>
      <c r="D24" s="5">
        <f>A24/10+0.25</f>
        <v/>
      </c>
      <c r="E24" s="5">
        <f>20/B24</f>
        <v/>
      </c>
      <c r="F24" s="5">
        <f>0.7-0.7/19*(E24-1)</f>
        <v/>
      </c>
      <c r="G24" s="5">
        <f>0.5-0.5/19*(E24-1)</f>
        <v/>
      </c>
      <c r="H24" s="6">
        <f>63.5*76*(1+F24^2*D24)/((E24+G24)*(1+D24)*20)</f>
        <v/>
      </c>
      <c r="I24" s="6">
        <f>H24/C24</f>
        <v/>
      </c>
    </row>
    <row r="25">
      <c r="A25" s="3" t="n">
        <v>4.6</v>
      </c>
      <c r="B25" s="4" t="n">
        <v>7</v>
      </c>
      <c r="C25" s="4" t="n">
        <v>50</v>
      </c>
      <c r="D25" s="5">
        <f>A25/10+0.25</f>
        <v/>
      </c>
      <c r="E25" s="5">
        <f>20/B25</f>
        <v/>
      </c>
      <c r="F25" s="5">
        <f>0.7-0.7/19*(E25-1)</f>
        <v/>
      </c>
      <c r="G25" s="5">
        <f>0.5-0.5/19*(E25-1)</f>
        <v/>
      </c>
      <c r="H25" s="6">
        <f>63.5*76*(1+F25^2*D25)/((E25+G25)*(1+D25)*20)</f>
        <v/>
      </c>
      <c r="I25" s="6">
        <f>H25/C25</f>
        <v/>
      </c>
    </row>
    <row r="26">
      <c r="A26" s="3" t="n">
        <v>4.8</v>
      </c>
      <c r="B26" s="4" t="n">
        <v>11</v>
      </c>
      <c r="C26" s="4" t="n">
        <v>50</v>
      </c>
      <c r="D26" s="5">
        <f>A26/10+0.25</f>
        <v/>
      </c>
      <c r="E26" s="5">
        <f>20/B26</f>
        <v/>
      </c>
      <c r="F26" s="5">
        <f>0.7-0.7/19*(E26-1)</f>
        <v/>
      </c>
      <c r="G26" s="5">
        <f>0.5-0.5/19*(E26-1)</f>
        <v/>
      </c>
      <c r="H26" s="6">
        <f>63.5*76*(1+F26^2*D26)/((E26+G26)*(1+D26)*20)</f>
        <v/>
      </c>
      <c r="I26" s="6">
        <f>H26/C26</f>
        <v/>
      </c>
    </row>
    <row r="27">
      <c r="A27" s="3" t="n">
        <v>5</v>
      </c>
      <c r="B27" s="4" t="n">
        <v>8</v>
      </c>
      <c r="C27" s="4" t="n">
        <v>50</v>
      </c>
      <c r="D27" s="5">
        <f>A27/10+0.25</f>
        <v/>
      </c>
      <c r="E27" s="5">
        <f>20/B27</f>
        <v/>
      </c>
      <c r="F27" s="5">
        <f>0.7-0.7/19*(E27-1)</f>
        <v/>
      </c>
      <c r="G27" s="5">
        <f>0.5-0.5/19*(E27-1)</f>
        <v/>
      </c>
      <c r="H27" s="6">
        <f>63.5*76*(1+F27^2*D27)/((E27+G27)*(1+D27)*20)</f>
        <v/>
      </c>
      <c r="I27" s="6">
        <f>H27/C27</f>
        <v/>
      </c>
    </row>
    <row r="28">
      <c r="A28" s="3" t="n">
        <v>5.2</v>
      </c>
      <c r="B28" s="4" t="n">
        <v>9</v>
      </c>
      <c r="C28" s="4" t="n">
        <v>50</v>
      </c>
      <c r="D28" s="5">
        <f>A28/10+0.25</f>
        <v/>
      </c>
      <c r="E28" s="5">
        <f>20/B28</f>
        <v/>
      </c>
      <c r="F28" s="5">
        <f>0.7-0.7/19*(E28-1)</f>
        <v/>
      </c>
      <c r="G28" s="5">
        <f>0.5-0.5/19*(E28-1)</f>
        <v/>
      </c>
      <c r="H28" s="6">
        <f>63.5*76*(1+F28^2*D28)/((E28+G28)*(1+D28)*20)</f>
        <v/>
      </c>
      <c r="I28" s="6">
        <f>H28/C28</f>
        <v/>
      </c>
    </row>
    <row r="29">
      <c r="A29" s="3" t="n">
        <v>5.4</v>
      </c>
      <c r="B29" s="4" t="n">
        <v>8</v>
      </c>
      <c r="C29" s="4" t="n">
        <v>50</v>
      </c>
      <c r="D29" s="5">
        <f>A29/10+0.25</f>
        <v/>
      </c>
      <c r="E29" s="5">
        <f>20/B29</f>
        <v/>
      </c>
      <c r="F29" s="5">
        <f>0.7-0.7/19*(E29-1)</f>
        <v/>
      </c>
      <c r="G29" s="5">
        <f>0.5-0.5/19*(E29-1)</f>
        <v/>
      </c>
      <c r="H29" s="6">
        <f>63.5*76*(1+F29^2*D29)/((E29+G29)*(1+D29)*20)</f>
        <v/>
      </c>
      <c r="I29" s="6">
        <f>H29/C29</f>
        <v/>
      </c>
    </row>
    <row r="30">
      <c r="A30" s="3" t="n">
        <v>5.6</v>
      </c>
      <c r="B30" s="4" t="n">
        <v>7</v>
      </c>
      <c r="C30" s="4" t="n">
        <v>50</v>
      </c>
      <c r="D30" s="5">
        <f>A30/10+0.25</f>
        <v/>
      </c>
      <c r="E30" s="5">
        <f>20/B30</f>
        <v/>
      </c>
      <c r="F30" s="5">
        <f>0.7-0.7/19*(E30-1)</f>
        <v/>
      </c>
      <c r="G30" s="5">
        <f>0.5-0.5/19*(E30-1)</f>
        <v/>
      </c>
      <c r="H30" s="6">
        <f>63.5*76*(1+F30^2*D30)/((E30+G30)*(1+D30)*20)</f>
        <v/>
      </c>
      <c r="I30" s="6">
        <f>H30/C30</f>
        <v/>
      </c>
    </row>
    <row r="31">
      <c r="A31" s="3" t="n">
        <v>5.8</v>
      </c>
      <c r="B31" s="4" t="n">
        <v>10</v>
      </c>
      <c r="C31" s="4" t="n">
        <v>50</v>
      </c>
      <c r="D31" s="5">
        <f>A31/10+0.25</f>
        <v/>
      </c>
      <c r="E31" s="5">
        <f>20/B31</f>
        <v/>
      </c>
      <c r="F31" s="5">
        <f>0.7-0.7/19*(E31-1)</f>
        <v/>
      </c>
      <c r="G31" s="5">
        <f>0.5-0.5/19*(E31-1)</f>
        <v/>
      </c>
      <c r="H31" s="6">
        <f>63.5*76*(1+F31^2*D31)/((E31+G31)*(1+D31)*20)</f>
        <v/>
      </c>
      <c r="I31" s="6">
        <f>H31/C31</f>
        <v/>
      </c>
    </row>
    <row r="32">
      <c r="A32" s="3" t="n">
        <v>6</v>
      </c>
      <c r="B32" s="4" t="n">
        <v>8</v>
      </c>
      <c r="C32" s="4" t="n">
        <v>50</v>
      </c>
      <c r="D32" s="5">
        <f>A32/10+0.25</f>
        <v/>
      </c>
      <c r="E32" s="5">
        <f>20/B32</f>
        <v/>
      </c>
      <c r="F32" s="5">
        <f>0.7-0.7/19*(E32-1)</f>
        <v/>
      </c>
      <c r="G32" s="5">
        <f>0.5-0.5/19*(E32-1)</f>
        <v/>
      </c>
      <c r="H32" s="6">
        <f>63.5*76*(1+F32^2*D32)/((E32+G32)*(1+D32)*20)</f>
        <v/>
      </c>
      <c r="I32" s="6">
        <f>H32/C32</f>
        <v/>
      </c>
    </row>
    <row r="33">
      <c r="A33" s="3" t="n">
        <v>6.2</v>
      </c>
      <c r="B33" s="4" t="n">
        <v>9</v>
      </c>
      <c r="C33" s="4" t="n">
        <v>50</v>
      </c>
      <c r="D33" s="5">
        <f>A33/10+0.25</f>
        <v/>
      </c>
      <c r="E33" s="5">
        <f>20/B33</f>
        <v/>
      </c>
      <c r="F33" s="5">
        <f>0.7-0.7/19*(E33-1)</f>
        <v/>
      </c>
      <c r="G33" s="5">
        <f>0.5-0.5/19*(E33-1)</f>
        <v/>
      </c>
      <c r="H33" s="6">
        <f>63.5*76*(1+F33^2*D33)/((E33+G33)*(1+D33)*20)</f>
        <v/>
      </c>
      <c r="I33" s="6">
        <f>H33/C33</f>
        <v/>
      </c>
    </row>
    <row r="34">
      <c r="A34" s="3" t="n">
        <v>6.4</v>
      </c>
      <c r="B34" s="4" t="n">
        <v>8</v>
      </c>
      <c r="C34" s="4" t="n">
        <v>50</v>
      </c>
      <c r="D34" s="5">
        <f>A34/10+0.25</f>
        <v/>
      </c>
      <c r="E34" s="5">
        <f>20/B34</f>
        <v/>
      </c>
      <c r="F34" s="5">
        <f>0.7-0.7/19*(E34-1)</f>
        <v/>
      </c>
      <c r="G34" s="5">
        <f>0.5-0.5/19*(E34-1)</f>
        <v/>
      </c>
      <c r="H34" s="6">
        <f>63.5*76*(1+F34^2*D34)/((E34+G34)*(1+D34)*20)</f>
        <v/>
      </c>
      <c r="I34" s="6">
        <f>H34/C34</f>
        <v/>
      </c>
    </row>
    <row r="35">
      <c r="A35" s="3" t="n">
        <v>6.6</v>
      </c>
      <c r="B35" s="4" t="n">
        <v>8</v>
      </c>
      <c r="C35" s="4" t="n">
        <v>50</v>
      </c>
      <c r="D35" s="5">
        <f>A35/10+0.25</f>
        <v/>
      </c>
      <c r="E35" s="5">
        <f>20/B35</f>
        <v/>
      </c>
      <c r="F35" s="5">
        <f>0.7-0.7/19*(E35-1)</f>
        <v/>
      </c>
      <c r="G35" s="5">
        <f>0.5-0.5/19*(E35-1)</f>
        <v/>
      </c>
      <c r="H35" s="6">
        <f>63.5*76*(1+F35^2*D35)/((E35+G35)*(1+D35)*20)</f>
        <v/>
      </c>
      <c r="I35" s="6">
        <f>H35/C35</f>
        <v/>
      </c>
    </row>
    <row r="36">
      <c r="A36" s="3" t="n">
        <v>6.8</v>
      </c>
      <c r="B36" s="4" t="n">
        <v>6</v>
      </c>
      <c r="C36" s="4" t="n">
        <v>50</v>
      </c>
      <c r="D36" s="5">
        <f>A36/10+0.25</f>
        <v/>
      </c>
      <c r="E36" s="5">
        <f>20/B36</f>
        <v/>
      </c>
      <c r="F36" s="5">
        <f>0.7-0.7/19*(E36-1)</f>
        <v/>
      </c>
      <c r="G36" s="5">
        <f>0.5-0.5/19*(E36-1)</f>
        <v/>
      </c>
      <c r="H36" s="6">
        <f>63.5*76*(1+F36^2*D36)/((E36+G36)*(1+D36)*20)</f>
        <v/>
      </c>
      <c r="I36" s="6">
        <f>H36/C36</f>
        <v/>
      </c>
    </row>
    <row r="37">
      <c r="A37" s="3" t="n">
        <v>7</v>
      </c>
      <c r="B37" s="4" t="n">
        <v>8</v>
      </c>
      <c r="C37" s="4" t="n">
        <v>50</v>
      </c>
      <c r="D37" s="5">
        <f>A37/10+0.25</f>
        <v/>
      </c>
      <c r="E37" s="5">
        <f>20/B37</f>
        <v/>
      </c>
      <c r="F37" s="5">
        <f>0.7-0.7/19*(E37-1)</f>
        <v/>
      </c>
      <c r="G37" s="5">
        <f>0.5-0.5/19*(E37-1)</f>
        <v/>
      </c>
      <c r="H37" s="6">
        <f>63.5*76*(1+F37^2*D37)/((E37+G37)*(1+D37)*20)</f>
        <v/>
      </c>
      <c r="I37" s="6">
        <f>H37/C37</f>
        <v/>
      </c>
    </row>
    <row r="38">
      <c r="A38" s="3" t="n">
        <v>7.2</v>
      </c>
      <c r="B38" s="4" t="n">
        <v>9</v>
      </c>
      <c r="C38" s="4" t="n">
        <v>50</v>
      </c>
      <c r="D38" s="5">
        <f>A38/10+0.25</f>
        <v/>
      </c>
      <c r="E38" s="5">
        <f>20/B38</f>
        <v/>
      </c>
      <c r="F38" s="5">
        <f>0.7-0.7/19*(E38-1)</f>
        <v/>
      </c>
      <c r="G38" s="5">
        <f>0.5-0.5/19*(E38-1)</f>
        <v/>
      </c>
      <c r="H38" s="6">
        <f>63.5*76*(1+F38^2*D38)/((E38+G38)*(1+D38)*20)</f>
        <v/>
      </c>
      <c r="I38" s="6">
        <f>H38/C38</f>
        <v/>
      </c>
    </row>
    <row r="39">
      <c r="A39" s="3" t="n">
        <v>7.4</v>
      </c>
      <c r="B39" s="4" t="n">
        <v>7</v>
      </c>
      <c r="C39" s="4" t="n">
        <v>50</v>
      </c>
      <c r="D39" s="5">
        <f>A39/10+0.25</f>
        <v/>
      </c>
      <c r="E39" s="5">
        <f>20/B39</f>
        <v/>
      </c>
      <c r="F39" s="5">
        <f>0.7-0.7/19*(E39-1)</f>
        <v/>
      </c>
      <c r="G39" s="5">
        <f>0.5-0.5/19*(E39-1)</f>
        <v/>
      </c>
      <c r="H39" s="6">
        <f>63.5*76*(1+F39^2*D39)/((E39+G39)*(1+D39)*20)</f>
        <v/>
      </c>
      <c r="I39" s="6">
        <f>H39/C39</f>
        <v/>
      </c>
    </row>
    <row r="40">
      <c r="A40" s="3" t="n">
        <v>7.6</v>
      </c>
      <c r="B40" s="4" t="n">
        <v>8</v>
      </c>
      <c r="C40" s="4" t="n">
        <v>50</v>
      </c>
      <c r="D40" s="5">
        <f>A40/10+0.25</f>
        <v/>
      </c>
      <c r="E40" s="5">
        <f>20/B40</f>
        <v/>
      </c>
      <c r="F40" s="5">
        <f>0.7-0.7/19*(E40-1)</f>
        <v/>
      </c>
      <c r="G40" s="5">
        <f>0.5-0.5/19*(E40-1)</f>
        <v/>
      </c>
      <c r="H40" s="6">
        <f>63.5*76*(1+F40^2*D40)/((E40+G40)*(1+D40)*20)</f>
        <v/>
      </c>
      <c r="I40" s="6">
        <f>H40/C40</f>
        <v/>
      </c>
    </row>
    <row r="41">
      <c r="A41" s="3" t="n">
        <v>7.8</v>
      </c>
      <c r="B41" s="4" t="n">
        <v>9</v>
      </c>
      <c r="C41" s="4" t="n">
        <v>50</v>
      </c>
      <c r="D41" s="5">
        <f>A41/10+0.25</f>
        <v/>
      </c>
      <c r="E41" s="5">
        <f>20/B41</f>
        <v/>
      </c>
      <c r="F41" s="5">
        <f>0.7-0.7/19*(E41-1)</f>
        <v/>
      </c>
      <c r="G41" s="5">
        <f>0.5-0.5/19*(E41-1)</f>
        <v/>
      </c>
      <c r="H41" s="6">
        <f>63.5*76*(1+F41^2*D41)/((E41+G41)*(1+D41)*20)</f>
        <v/>
      </c>
      <c r="I41" s="6">
        <f>H41/C41</f>
        <v/>
      </c>
    </row>
    <row r="42">
      <c r="A42" s="3" t="n">
        <v>8</v>
      </c>
      <c r="B42" s="4" t="n">
        <v>10</v>
      </c>
      <c r="C42" s="4" t="n">
        <v>50</v>
      </c>
      <c r="D42" s="5">
        <f>A42/10+0.25</f>
        <v/>
      </c>
      <c r="E42" s="5">
        <f>20/B42</f>
        <v/>
      </c>
      <c r="F42" s="5">
        <f>0.7-0.7/19*(E42-1)</f>
        <v/>
      </c>
      <c r="G42" s="5">
        <f>0.5-0.5/19*(E42-1)</f>
        <v/>
      </c>
      <c r="H42" s="6">
        <f>63.5*76*(1+F42^2*D42)/((E42+G42)*(1+D42)*20)</f>
        <v/>
      </c>
      <c r="I42" s="6">
        <f>H42/C42</f>
        <v/>
      </c>
    </row>
    <row r="43">
      <c r="A43" s="3" t="n">
        <v>8.199999999999999</v>
      </c>
      <c r="B43" s="4" t="n">
        <v>12</v>
      </c>
      <c r="C43" s="4" t="n">
        <v>50</v>
      </c>
      <c r="D43" s="5">
        <f>A43/10+0.25</f>
        <v/>
      </c>
      <c r="E43" s="5">
        <f>20/B43</f>
        <v/>
      </c>
      <c r="F43" s="5">
        <f>0.7-0.7/19*(E43-1)</f>
        <v/>
      </c>
      <c r="G43" s="5">
        <f>0.5-0.5/19*(E43-1)</f>
        <v/>
      </c>
      <c r="H43" s="6">
        <f>63.5*76*(1+F43^2*D43)/((E43+G43)*(1+D43)*20)</f>
        <v/>
      </c>
      <c r="I43" s="6">
        <f>H43/C43</f>
        <v/>
      </c>
    </row>
    <row r="44">
      <c r="A44" s="3" t="n">
        <v>8.4</v>
      </c>
      <c r="B44" s="4" t="n">
        <v>13</v>
      </c>
      <c r="C44" s="4" t="n">
        <v>50</v>
      </c>
      <c r="D44" s="5">
        <f>A44/10+0.25</f>
        <v/>
      </c>
      <c r="E44" s="5">
        <f>20/B44</f>
        <v/>
      </c>
      <c r="F44" s="5">
        <f>0.7-0.7/19*(E44-1)</f>
        <v/>
      </c>
      <c r="G44" s="5">
        <f>0.5-0.5/19*(E44-1)</f>
        <v/>
      </c>
      <c r="H44" s="6">
        <f>63.5*76*(1+F44^2*D44)/((E44+G44)*(1+D44)*20)</f>
        <v/>
      </c>
      <c r="I44" s="6">
        <f>H44/C44</f>
        <v/>
      </c>
    </row>
    <row r="45">
      <c r="A45" s="3" t="n">
        <v>8.6</v>
      </c>
      <c r="B45" s="4" t="n">
        <v>13</v>
      </c>
      <c r="C45" s="4" t="n">
        <v>50</v>
      </c>
      <c r="D45" s="5">
        <f>A45/10+0.25</f>
        <v/>
      </c>
      <c r="E45" s="5">
        <f>20/B45</f>
        <v/>
      </c>
      <c r="F45" s="5">
        <f>0.7-0.7/19*(E45-1)</f>
        <v/>
      </c>
      <c r="G45" s="5">
        <f>0.5-0.5/19*(E45-1)</f>
        <v/>
      </c>
      <c r="H45" s="6">
        <f>63.5*76*(1+F45^2*D45)/((E45+G45)*(1+D45)*20)</f>
        <v/>
      </c>
      <c r="I45" s="6">
        <f>H45/C45</f>
        <v/>
      </c>
    </row>
    <row r="46">
      <c r="A46" s="3" t="n">
        <v>8.800000000000001</v>
      </c>
      <c r="B46" s="4" t="n">
        <v>13</v>
      </c>
      <c r="C46" s="4" t="n">
        <v>50</v>
      </c>
      <c r="D46" s="5">
        <f>A46/10+0.25</f>
        <v/>
      </c>
      <c r="E46" s="5">
        <f>20/B46</f>
        <v/>
      </c>
      <c r="F46" s="5">
        <f>0.7-0.7/19*(E46-1)</f>
        <v/>
      </c>
      <c r="G46" s="5">
        <f>0.5-0.5/19*(E46-1)</f>
        <v/>
      </c>
      <c r="H46" s="6">
        <f>63.5*76*(1+F46^2*D46)/((E46+G46)*(1+D46)*20)</f>
        <v/>
      </c>
      <c r="I46" s="6">
        <f>H46/C46</f>
        <v/>
      </c>
    </row>
    <row r="47">
      <c r="A47" s="3" t="n">
        <v>9</v>
      </c>
      <c r="B47" s="4" t="n">
        <v>15</v>
      </c>
      <c r="C47" s="4" t="n">
        <v>50</v>
      </c>
      <c r="D47" s="5">
        <f>A47/10+0.25</f>
        <v/>
      </c>
      <c r="E47" s="5">
        <f>20/B47</f>
        <v/>
      </c>
      <c r="F47" s="5">
        <f>0.7-0.7/19*(E47-1)</f>
        <v/>
      </c>
      <c r="G47" s="5">
        <f>0.5-0.5/19*(E47-1)</f>
        <v/>
      </c>
      <c r="H47" s="6">
        <f>63.5*76*(1+F47^2*D47)/((E47+G47)*(1+D47)*20)</f>
        <v/>
      </c>
      <c r="I47" s="6">
        <f>H47/C47</f>
        <v/>
      </c>
    </row>
    <row r="48">
      <c r="A48" s="3" t="n">
        <v>9.199999999999999</v>
      </c>
      <c r="B48" s="4" t="n">
        <v>17</v>
      </c>
      <c r="C48" s="4" t="n">
        <v>50</v>
      </c>
      <c r="D48" s="5">
        <f>A48/10+0.25</f>
        <v/>
      </c>
      <c r="E48" s="5">
        <f>20/B48</f>
        <v/>
      </c>
      <c r="F48" s="5">
        <f>0.7-0.7/19*(E48-1)</f>
        <v/>
      </c>
      <c r="G48" s="5">
        <f>0.5-0.5/19*(E48-1)</f>
        <v/>
      </c>
      <c r="H48" s="6">
        <f>63.5*76*(1+F48^2*D48)/((E48+G48)*(1+D48)*20)</f>
        <v/>
      </c>
      <c r="I48" s="6">
        <f>H48/C48</f>
        <v/>
      </c>
    </row>
    <row r="49">
      <c r="A49" s="3" t="n">
        <v>9.4</v>
      </c>
      <c r="B49" s="4" t="n">
        <v>37</v>
      </c>
      <c r="C49" s="4" t="n">
        <v>50</v>
      </c>
      <c r="D49" s="5">
        <f>A49/10+0.25</f>
        <v/>
      </c>
      <c r="E49" s="5">
        <f>20/B49</f>
        <v/>
      </c>
      <c r="F49" s="5">
        <f>0.7-0.7/19*(E49-1)</f>
        <v/>
      </c>
      <c r="G49" s="5">
        <f>0.5-0.5/19*(E49-1)</f>
        <v/>
      </c>
      <c r="H49" s="6">
        <f>63.5*76*(1+F49^2*D49)/((E49+G49)*(1+D49)*20)</f>
        <v/>
      </c>
      <c r="I49" s="6">
        <f>H49/C49</f>
        <v/>
      </c>
    </row>
    <row r="50">
      <c r="A50" s="3" t="n">
        <v>9.6</v>
      </c>
      <c r="B50" s="4" t="n">
        <v>28</v>
      </c>
      <c r="C50" s="4" t="n">
        <v>50</v>
      </c>
      <c r="D50" s="5">
        <f>A50/10+0.25</f>
        <v/>
      </c>
      <c r="E50" s="5">
        <f>20/B50</f>
        <v/>
      </c>
      <c r="F50" s="5">
        <f>0.7-0.7/19*(E50-1)</f>
        <v/>
      </c>
      <c r="G50" s="5">
        <f>0.5-0.5/19*(E50-1)</f>
        <v/>
      </c>
      <c r="H50" s="6">
        <f>63.5*76*(1+F50^2*D50)/((E50+G50)*(1+D50)*20)</f>
        <v/>
      </c>
      <c r="I50" s="6">
        <f>H50/C50</f>
        <v/>
      </c>
    </row>
    <row r="51">
      <c r="A51" s="3" t="n">
        <v>9.800000000000001</v>
      </c>
      <c r="B51" s="4" t="n">
        <v>21</v>
      </c>
      <c r="C51" s="4" t="n">
        <v>50</v>
      </c>
      <c r="D51" s="5">
        <f>A51/10+0.25</f>
        <v/>
      </c>
      <c r="E51" s="5">
        <f>20/B51</f>
        <v/>
      </c>
      <c r="F51" s="5">
        <f>0.7-0.7/19*(E51-1)</f>
        <v/>
      </c>
      <c r="G51" s="5">
        <f>0.5-0.5/19*(E51-1)</f>
        <v/>
      </c>
      <c r="H51" s="6">
        <f>63.5*76*(1+F51^2*D51)/((E51+G51)*(1+D51)*20)</f>
        <v/>
      </c>
      <c r="I51" s="6">
        <f>H51/C51</f>
        <v/>
      </c>
    </row>
    <row r="52">
      <c r="A52" s="3" t="n">
        <v>10</v>
      </c>
      <c r="B52" s="4" t="n">
        <v>22</v>
      </c>
      <c r="C52" s="4" t="n">
        <v>50</v>
      </c>
      <c r="D52" s="5">
        <f>A52/10+0.25</f>
        <v/>
      </c>
      <c r="E52" s="5">
        <f>20/B52</f>
        <v/>
      </c>
      <c r="F52" s="5">
        <f>0.7-0.7/19*(E52-1)</f>
        <v/>
      </c>
      <c r="G52" s="5">
        <f>0.5-0.5/19*(E52-1)</f>
        <v/>
      </c>
      <c r="H52" s="6">
        <f>63.5*76*(1+F52^2*D52)/((E52+G52)*(1+D52)*20)</f>
        <v/>
      </c>
      <c r="I52" s="6">
        <f>H52/C52</f>
        <v/>
      </c>
    </row>
    <row r="53">
      <c r="A53" s="3" t="n">
        <v>10.2</v>
      </c>
      <c r="B53" s="4" t="n">
        <v>30</v>
      </c>
      <c r="C53" s="4" t="n">
        <v>50</v>
      </c>
      <c r="D53" s="5">
        <f>A53/10+0.25</f>
        <v/>
      </c>
      <c r="E53" s="5">
        <f>20/B53</f>
        <v/>
      </c>
      <c r="F53" s="5">
        <f>0.7-0.7/19*(E53-1)</f>
        <v/>
      </c>
      <c r="G53" s="5">
        <f>0.5-0.5/19*(E53-1)</f>
        <v/>
      </c>
      <c r="H53" s="6">
        <f>63.5*76*(1+F53^2*D53)/((E53+G53)*(1+D53)*20)</f>
        <v/>
      </c>
      <c r="I53" s="6">
        <f>H53/C53</f>
        <v/>
      </c>
    </row>
    <row r="54">
      <c r="A54" s="3" t="n">
        <v>10.4</v>
      </c>
      <c r="B54" s="4" t="n">
        <v>25</v>
      </c>
      <c r="C54" s="4" t="n">
        <v>50</v>
      </c>
      <c r="D54" s="5">
        <f>A54/10+0.25</f>
        <v/>
      </c>
      <c r="E54" s="5">
        <f>20/B54</f>
        <v/>
      </c>
      <c r="F54" s="5">
        <f>0.7-0.7/19*(E54-1)</f>
        <v/>
      </c>
      <c r="G54" s="5">
        <f>0.5-0.5/19*(E54-1)</f>
        <v/>
      </c>
      <c r="H54" s="6">
        <f>63.5*76*(1+F54^2*D54)/((E54+G54)*(1+D54)*20)</f>
        <v/>
      </c>
      <c r="I54" s="6">
        <f>H54/C54</f>
        <v/>
      </c>
    </row>
    <row r="55">
      <c r="A55" s="3" t="n">
        <v>10.6</v>
      </c>
      <c r="B55" s="4" t="n">
        <v>29</v>
      </c>
      <c r="C55" s="4" t="n">
        <v>50</v>
      </c>
      <c r="D55" s="5">
        <f>A55/10+0.25</f>
        <v/>
      </c>
      <c r="E55" s="5">
        <f>20/B55</f>
        <v/>
      </c>
      <c r="F55" s="5">
        <f>0.7-0.7/19*(E55-1)</f>
        <v/>
      </c>
      <c r="G55" s="5">
        <f>0.5-0.5/19*(E55-1)</f>
        <v/>
      </c>
      <c r="H55" s="6">
        <f>63.5*76*(1+F55^2*D55)/((E55+G55)*(1+D55)*20)</f>
        <v/>
      </c>
      <c r="I55" s="6">
        <f>H55/C55</f>
        <v/>
      </c>
    </row>
    <row r="56">
      <c r="A56" s="3" t="n">
        <v>10.8</v>
      </c>
      <c r="B56" s="4" t="n">
        <v>33</v>
      </c>
      <c r="C56" s="4" t="n">
        <v>50</v>
      </c>
      <c r="D56" s="5">
        <f>A56/10+0.25</f>
        <v/>
      </c>
      <c r="E56" s="5">
        <f>20/B56</f>
        <v/>
      </c>
      <c r="F56" s="5">
        <f>0.7-0.7/19*(E56-1)</f>
        <v/>
      </c>
      <c r="G56" s="5">
        <f>0.5-0.5/19*(E56-1)</f>
        <v/>
      </c>
      <c r="H56" s="6">
        <f>63.5*76*(1+F56^2*D56)/((E56+G56)*(1+D56)*20)</f>
        <v/>
      </c>
      <c r="I56" s="6">
        <f>H56/C56</f>
        <v/>
      </c>
    </row>
    <row r="57">
      <c r="A57" s="3" t="n">
        <v>11</v>
      </c>
      <c r="B57" s="4" t="n">
        <v>41</v>
      </c>
      <c r="C57" s="4" t="n">
        <v>50</v>
      </c>
      <c r="D57" s="5">
        <f>A57/10+0.25</f>
        <v/>
      </c>
      <c r="E57" s="5">
        <f>20/B57</f>
        <v/>
      </c>
      <c r="F57" s="5">
        <f>0.7-0.7/19*(E57-1)</f>
        <v/>
      </c>
      <c r="G57" s="5">
        <f>0.5-0.5/19*(E57-1)</f>
        <v/>
      </c>
      <c r="H57" s="6">
        <f>63.5*76*(1+F57^2*D57)/((E57+G57)*(1+D57)*20)</f>
        <v/>
      </c>
      <c r="I57" s="6">
        <f>H57/C57</f>
        <v/>
      </c>
    </row>
    <row r="58">
      <c r="A58" s="3" t="n">
        <v>11.2</v>
      </c>
      <c r="B58" s="4" t="n">
        <v>100</v>
      </c>
      <c r="C58" s="4" t="n">
        <v>50</v>
      </c>
      <c r="D58" s="5">
        <f>A58/10+0.25</f>
        <v/>
      </c>
      <c r="E58" s="5">
        <f>20/B58</f>
        <v/>
      </c>
      <c r="F58" s="5">
        <f>0.7-0.7/19*(E58-1)</f>
        <v/>
      </c>
      <c r="G58" s="5">
        <f>0.5-0.5/19*(E58-1)</f>
        <v/>
      </c>
      <c r="H58" s="6">
        <f>63.5*76*(1+F58^2*D58)/((E58+G58)*(1+D58)*20)</f>
        <v/>
      </c>
      <c r="I58" s="6">
        <f>H58/C58</f>
        <v/>
      </c>
    </row>
  </sheetData>
  <mergeCells count="1">
    <mergeCell ref="A1:I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6" customWidth="1" min="3" max="3"/>
    <col width="8" customWidth="1" min="4" max="4"/>
    <col width="8" customWidth="1" min="5" max="5"/>
    <col width="8" customWidth="1" min="6" max="6"/>
    <col width="8" customWidth="1" min="7" max="7"/>
    <col width="30" customWidth="1" min="8" max="8"/>
    <col width="28" customWidth="1" min="9" max="9"/>
  </cols>
  <sheetData>
    <row r="1" ht="26" customHeight="1">
      <c r="A1" s="1" t="inlineStr">
        <is>
          <t>Cálculo Hiley - P-02</t>
        </is>
      </c>
    </row>
    <row r="2" ht="32" customHeight="1">
      <c r="A2" s="2" t="inlineStr">
        <is>
          <t>Z(m)</t>
        </is>
      </c>
      <c r="B2" s="2" t="inlineStr">
        <is>
          <t>N(20)</t>
        </is>
      </c>
      <c r="C2" s="2" t="inlineStr">
        <is>
          <t>F</t>
        </is>
      </c>
      <c r="D2" s="2" t="inlineStr">
        <is>
          <t>a</t>
        </is>
      </c>
      <c r="E2" s="2" t="inlineStr">
        <is>
          <t>e</t>
        </is>
      </c>
      <c r="F2" s="2" t="inlineStr">
        <is>
          <t>n</t>
        </is>
      </c>
      <c r="G2" s="2" t="inlineStr">
        <is>
          <t>c</t>
        </is>
      </c>
      <c r="H2" s="2" t="inlineStr">
        <is>
          <t>Presión Característica (kg/cm2)</t>
        </is>
      </c>
      <c r="I2" s="2" t="inlineStr">
        <is>
          <t>Presión Admisible (kg/cm2)</t>
        </is>
      </c>
    </row>
    <row r="3">
      <c r="A3" s="3" t="n">
        <v>0.2</v>
      </c>
      <c r="B3" s="4" t="n">
        <v>5</v>
      </c>
      <c r="C3" s="4" t="n">
        <v>50</v>
      </c>
      <c r="D3" s="5">
        <f>A3/10+0.25</f>
        <v/>
      </c>
      <c r="E3" s="5">
        <f>20/B3</f>
        <v/>
      </c>
      <c r="F3" s="5">
        <f>0.7-0.7/19*(E3-1)</f>
        <v/>
      </c>
      <c r="G3" s="5">
        <f>0.5-0.5/19*(E3-1)</f>
        <v/>
      </c>
      <c r="H3" s="6">
        <f>63.5*76*(1+F3^2*D3)/((E3+G3)*(1+D3)*20)</f>
        <v/>
      </c>
      <c r="I3" s="6">
        <f>H3/C3</f>
        <v/>
      </c>
    </row>
    <row r="4">
      <c r="A4" s="3" t="n">
        <v>0.4</v>
      </c>
      <c r="B4" s="4" t="n">
        <v>8</v>
      </c>
      <c r="C4" s="4" t="n">
        <v>50</v>
      </c>
      <c r="D4" s="5">
        <f>A4/10+0.25</f>
        <v/>
      </c>
      <c r="E4" s="5">
        <f>20/B4</f>
        <v/>
      </c>
      <c r="F4" s="5">
        <f>0.7-0.7/19*(E4-1)</f>
        <v/>
      </c>
      <c r="G4" s="5">
        <f>0.5-0.5/19*(E4-1)</f>
        <v/>
      </c>
      <c r="H4" s="6">
        <f>63.5*76*(1+F4^2*D4)/((E4+G4)*(1+D4)*20)</f>
        <v/>
      </c>
      <c r="I4" s="6">
        <f>H4/C4</f>
        <v/>
      </c>
    </row>
    <row r="5">
      <c r="A5" s="3" t="n">
        <v>0.6</v>
      </c>
      <c r="B5" s="4" t="n">
        <v>8</v>
      </c>
      <c r="C5" s="4" t="n">
        <v>50</v>
      </c>
      <c r="D5" s="5">
        <f>A5/10+0.25</f>
        <v/>
      </c>
      <c r="E5" s="5">
        <f>20/B5</f>
        <v/>
      </c>
      <c r="F5" s="5">
        <f>0.7-0.7/19*(E5-1)</f>
        <v/>
      </c>
      <c r="G5" s="5">
        <f>0.5-0.5/19*(E5-1)</f>
        <v/>
      </c>
      <c r="H5" s="6">
        <f>63.5*76*(1+F5^2*D5)/((E5+G5)*(1+D5)*20)</f>
        <v/>
      </c>
      <c r="I5" s="6">
        <f>H5/C5</f>
        <v/>
      </c>
    </row>
    <row r="6">
      <c r="A6" s="3" t="n">
        <v>0.8</v>
      </c>
      <c r="B6" s="4" t="n">
        <v>7</v>
      </c>
      <c r="C6" s="4" t="n">
        <v>50</v>
      </c>
      <c r="D6" s="5">
        <f>A6/10+0.25</f>
        <v/>
      </c>
      <c r="E6" s="5">
        <f>20/B6</f>
        <v/>
      </c>
      <c r="F6" s="5">
        <f>0.7-0.7/19*(E6-1)</f>
        <v/>
      </c>
      <c r="G6" s="5">
        <f>0.5-0.5/19*(E6-1)</f>
        <v/>
      </c>
      <c r="H6" s="6">
        <f>63.5*76*(1+F6^2*D6)/((E6+G6)*(1+D6)*20)</f>
        <v/>
      </c>
      <c r="I6" s="6">
        <f>H6/C6</f>
        <v/>
      </c>
    </row>
    <row r="7">
      <c r="A7" s="3" t="n">
        <v>1</v>
      </c>
      <c r="B7" s="4" t="n">
        <v>11</v>
      </c>
      <c r="C7" s="4" t="n">
        <v>50</v>
      </c>
      <c r="D7" s="5">
        <f>A7/10+0.25</f>
        <v/>
      </c>
      <c r="E7" s="5">
        <f>20/B7</f>
        <v/>
      </c>
      <c r="F7" s="5">
        <f>0.7-0.7/19*(E7-1)</f>
        <v/>
      </c>
      <c r="G7" s="5">
        <f>0.5-0.5/19*(E7-1)</f>
        <v/>
      </c>
      <c r="H7" s="6">
        <f>63.5*76*(1+F7^2*D7)/((E7+G7)*(1+D7)*20)</f>
        <v/>
      </c>
      <c r="I7" s="6">
        <f>H7/C7</f>
        <v/>
      </c>
    </row>
    <row r="8">
      <c r="A8" s="3" t="n">
        <v>1.2</v>
      </c>
      <c r="B8" s="4" t="n">
        <v>21</v>
      </c>
      <c r="C8" s="4" t="n">
        <v>50</v>
      </c>
      <c r="D8" s="5">
        <f>A8/10+0.25</f>
        <v/>
      </c>
      <c r="E8" s="5">
        <f>20/B8</f>
        <v/>
      </c>
      <c r="F8" s="5">
        <f>0.7-0.7/19*(E8-1)</f>
        <v/>
      </c>
      <c r="G8" s="5">
        <f>0.5-0.5/19*(E8-1)</f>
        <v/>
      </c>
      <c r="H8" s="6">
        <f>63.5*76*(1+F8^2*D8)/((E8+G8)*(1+D8)*20)</f>
        <v/>
      </c>
      <c r="I8" s="6">
        <f>H8/C8</f>
        <v/>
      </c>
    </row>
    <row r="9">
      <c r="A9" s="3" t="n">
        <v>1.4</v>
      </c>
      <c r="B9" s="4" t="n">
        <v>14</v>
      </c>
      <c r="C9" s="4" t="n">
        <v>50</v>
      </c>
      <c r="D9" s="5">
        <f>A9/10+0.25</f>
        <v/>
      </c>
      <c r="E9" s="5">
        <f>20/B9</f>
        <v/>
      </c>
      <c r="F9" s="5">
        <f>0.7-0.7/19*(E9-1)</f>
        <v/>
      </c>
      <c r="G9" s="5">
        <f>0.5-0.5/19*(E9-1)</f>
        <v/>
      </c>
      <c r="H9" s="6">
        <f>63.5*76*(1+F9^2*D9)/((E9+G9)*(1+D9)*20)</f>
        <v/>
      </c>
      <c r="I9" s="6">
        <f>H9/C9</f>
        <v/>
      </c>
    </row>
    <row r="10">
      <c r="A10" s="3" t="n">
        <v>1.6</v>
      </c>
      <c r="B10" s="4" t="n">
        <v>7</v>
      </c>
      <c r="C10" s="4" t="n">
        <v>50</v>
      </c>
      <c r="D10" s="5">
        <f>A10/10+0.25</f>
        <v/>
      </c>
      <c r="E10" s="5">
        <f>20/B10</f>
        <v/>
      </c>
      <c r="F10" s="5">
        <f>0.7-0.7/19*(E10-1)</f>
        <v/>
      </c>
      <c r="G10" s="5">
        <f>0.5-0.5/19*(E10-1)</f>
        <v/>
      </c>
      <c r="H10" s="6">
        <f>63.5*76*(1+F10^2*D10)/((E10+G10)*(1+D10)*20)</f>
        <v/>
      </c>
      <c r="I10" s="6">
        <f>H10/C10</f>
        <v/>
      </c>
    </row>
    <row r="11">
      <c r="A11" s="3" t="n">
        <v>1.8</v>
      </c>
      <c r="B11" s="4" t="n">
        <v>8</v>
      </c>
      <c r="C11" s="4" t="n">
        <v>50</v>
      </c>
      <c r="D11" s="5">
        <f>A11/10+0.25</f>
        <v/>
      </c>
      <c r="E11" s="5">
        <f>20/B11</f>
        <v/>
      </c>
      <c r="F11" s="5">
        <f>0.7-0.7/19*(E11-1)</f>
        <v/>
      </c>
      <c r="G11" s="5">
        <f>0.5-0.5/19*(E11-1)</f>
        <v/>
      </c>
      <c r="H11" s="6">
        <f>63.5*76*(1+F11^2*D11)/((E11+G11)*(1+D11)*20)</f>
        <v/>
      </c>
      <c r="I11" s="6">
        <f>H11/C11</f>
        <v/>
      </c>
    </row>
    <row r="12">
      <c r="A12" s="3" t="n">
        <v>2</v>
      </c>
      <c r="B12" s="4" t="n">
        <v>6</v>
      </c>
      <c r="C12" s="4" t="n">
        <v>50</v>
      </c>
      <c r="D12" s="5">
        <f>A12/10+0.25</f>
        <v/>
      </c>
      <c r="E12" s="5">
        <f>20/B12</f>
        <v/>
      </c>
      <c r="F12" s="5">
        <f>0.7-0.7/19*(E12-1)</f>
        <v/>
      </c>
      <c r="G12" s="5">
        <f>0.5-0.5/19*(E12-1)</f>
        <v/>
      </c>
      <c r="H12" s="6">
        <f>63.5*76*(1+F12^2*D12)/((E12+G12)*(1+D12)*20)</f>
        <v/>
      </c>
      <c r="I12" s="6">
        <f>H12/C12</f>
        <v/>
      </c>
    </row>
    <row r="13">
      <c r="A13" s="3" t="n">
        <v>2.2</v>
      </c>
      <c r="B13" s="4" t="n">
        <v>6</v>
      </c>
      <c r="C13" s="4" t="n">
        <v>50</v>
      </c>
      <c r="D13" s="5">
        <f>A13/10+0.25</f>
        <v/>
      </c>
      <c r="E13" s="5">
        <f>20/B13</f>
        <v/>
      </c>
      <c r="F13" s="5">
        <f>0.7-0.7/19*(E13-1)</f>
        <v/>
      </c>
      <c r="G13" s="5">
        <f>0.5-0.5/19*(E13-1)</f>
        <v/>
      </c>
      <c r="H13" s="6">
        <f>63.5*76*(1+F13^2*D13)/((E13+G13)*(1+D13)*20)</f>
        <v/>
      </c>
      <c r="I13" s="6">
        <f>H13/C13</f>
        <v/>
      </c>
    </row>
    <row r="14">
      <c r="A14" s="3" t="n">
        <v>2.4</v>
      </c>
      <c r="B14" s="4" t="n">
        <v>6</v>
      </c>
      <c r="C14" s="4" t="n">
        <v>50</v>
      </c>
      <c r="D14" s="5">
        <f>A14/10+0.25</f>
        <v/>
      </c>
      <c r="E14" s="5">
        <f>20/B14</f>
        <v/>
      </c>
      <c r="F14" s="5">
        <f>0.7-0.7/19*(E14-1)</f>
        <v/>
      </c>
      <c r="G14" s="5">
        <f>0.5-0.5/19*(E14-1)</f>
        <v/>
      </c>
      <c r="H14" s="6">
        <f>63.5*76*(1+F14^2*D14)/((E14+G14)*(1+D14)*20)</f>
        <v/>
      </c>
      <c r="I14" s="6">
        <f>H14/C14</f>
        <v/>
      </c>
    </row>
    <row r="15">
      <c r="A15" s="3" t="n">
        <v>2.6</v>
      </c>
      <c r="B15" s="4" t="n">
        <v>7</v>
      </c>
      <c r="C15" s="4" t="n">
        <v>50</v>
      </c>
      <c r="D15" s="5">
        <f>A15/10+0.25</f>
        <v/>
      </c>
      <c r="E15" s="5">
        <f>20/B15</f>
        <v/>
      </c>
      <c r="F15" s="5">
        <f>0.7-0.7/19*(E15-1)</f>
        <v/>
      </c>
      <c r="G15" s="5">
        <f>0.5-0.5/19*(E15-1)</f>
        <v/>
      </c>
      <c r="H15" s="6">
        <f>63.5*76*(1+F15^2*D15)/((E15+G15)*(1+D15)*20)</f>
        <v/>
      </c>
      <c r="I15" s="6">
        <f>H15/C15</f>
        <v/>
      </c>
    </row>
    <row r="16">
      <c r="A16" s="3" t="n">
        <v>2.8</v>
      </c>
      <c r="B16" s="4" t="n">
        <v>7</v>
      </c>
      <c r="C16" s="4" t="n">
        <v>50</v>
      </c>
      <c r="D16" s="5">
        <f>A16/10+0.25</f>
        <v/>
      </c>
      <c r="E16" s="5">
        <f>20/B16</f>
        <v/>
      </c>
      <c r="F16" s="5">
        <f>0.7-0.7/19*(E16-1)</f>
        <v/>
      </c>
      <c r="G16" s="5">
        <f>0.5-0.5/19*(E16-1)</f>
        <v/>
      </c>
      <c r="H16" s="6">
        <f>63.5*76*(1+F16^2*D16)/((E16+G16)*(1+D16)*20)</f>
        <v/>
      </c>
      <c r="I16" s="6">
        <f>H16/C16</f>
        <v/>
      </c>
    </row>
    <row r="17">
      <c r="A17" s="3" t="n">
        <v>3</v>
      </c>
      <c r="B17" s="4" t="n">
        <v>8</v>
      </c>
      <c r="C17" s="4" t="n">
        <v>50</v>
      </c>
      <c r="D17" s="5">
        <f>A17/10+0.25</f>
        <v/>
      </c>
      <c r="E17" s="5">
        <f>20/B17</f>
        <v/>
      </c>
      <c r="F17" s="5">
        <f>0.7-0.7/19*(E17-1)</f>
        <v/>
      </c>
      <c r="G17" s="5">
        <f>0.5-0.5/19*(E17-1)</f>
        <v/>
      </c>
      <c r="H17" s="6">
        <f>63.5*76*(1+F17^2*D17)/((E17+G17)*(1+D17)*20)</f>
        <v/>
      </c>
      <c r="I17" s="6">
        <f>H17/C17</f>
        <v/>
      </c>
    </row>
    <row r="18">
      <c r="A18" s="3" t="n">
        <v>3.2</v>
      </c>
      <c r="B18" s="4" t="n">
        <v>7</v>
      </c>
      <c r="C18" s="4" t="n">
        <v>50</v>
      </c>
      <c r="D18" s="5">
        <f>A18/10+0.25</f>
        <v/>
      </c>
      <c r="E18" s="5">
        <f>20/B18</f>
        <v/>
      </c>
      <c r="F18" s="5">
        <f>0.7-0.7/19*(E18-1)</f>
        <v/>
      </c>
      <c r="G18" s="5">
        <f>0.5-0.5/19*(E18-1)</f>
        <v/>
      </c>
      <c r="H18" s="6">
        <f>63.5*76*(1+F18^2*D18)/((E18+G18)*(1+D18)*20)</f>
        <v/>
      </c>
      <c r="I18" s="6">
        <f>H18/C18</f>
        <v/>
      </c>
    </row>
    <row r="19">
      <c r="A19" s="3" t="n">
        <v>3.4</v>
      </c>
      <c r="B19" s="4" t="n">
        <v>8</v>
      </c>
      <c r="C19" s="4" t="n">
        <v>50</v>
      </c>
      <c r="D19" s="5">
        <f>A19/10+0.25</f>
        <v/>
      </c>
      <c r="E19" s="5">
        <f>20/B19</f>
        <v/>
      </c>
      <c r="F19" s="5">
        <f>0.7-0.7/19*(E19-1)</f>
        <v/>
      </c>
      <c r="G19" s="5">
        <f>0.5-0.5/19*(E19-1)</f>
        <v/>
      </c>
      <c r="H19" s="6">
        <f>63.5*76*(1+F19^2*D19)/((E19+G19)*(1+D19)*20)</f>
        <v/>
      </c>
      <c r="I19" s="6">
        <f>H19/C19</f>
        <v/>
      </c>
    </row>
    <row r="20">
      <c r="A20" s="3" t="n">
        <v>3.6</v>
      </c>
      <c r="B20" s="4" t="n">
        <v>9</v>
      </c>
      <c r="C20" s="4" t="n">
        <v>50</v>
      </c>
      <c r="D20" s="5">
        <f>A20/10+0.25</f>
        <v/>
      </c>
      <c r="E20" s="5">
        <f>20/B20</f>
        <v/>
      </c>
      <c r="F20" s="5">
        <f>0.7-0.7/19*(E20-1)</f>
        <v/>
      </c>
      <c r="G20" s="5">
        <f>0.5-0.5/19*(E20-1)</f>
        <v/>
      </c>
      <c r="H20" s="6">
        <f>63.5*76*(1+F20^2*D20)/((E20+G20)*(1+D20)*20)</f>
        <v/>
      </c>
      <c r="I20" s="6">
        <f>H20/C20</f>
        <v/>
      </c>
    </row>
    <row r="21">
      <c r="A21" s="3" t="n">
        <v>3.8</v>
      </c>
      <c r="B21" s="4" t="n">
        <v>10</v>
      </c>
      <c r="C21" s="4" t="n">
        <v>50</v>
      </c>
      <c r="D21" s="5">
        <f>A21/10+0.25</f>
        <v/>
      </c>
      <c r="E21" s="5">
        <f>20/B21</f>
        <v/>
      </c>
      <c r="F21" s="5">
        <f>0.7-0.7/19*(E21-1)</f>
        <v/>
      </c>
      <c r="G21" s="5">
        <f>0.5-0.5/19*(E21-1)</f>
        <v/>
      </c>
      <c r="H21" s="6">
        <f>63.5*76*(1+F21^2*D21)/((E21+G21)*(1+D21)*20)</f>
        <v/>
      </c>
      <c r="I21" s="6">
        <f>H21/C21</f>
        <v/>
      </c>
    </row>
    <row r="22">
      <c r="A22" s="3" t="n">
        <v>4</v>
      </c>
      <c r="B22" s="4" t="n">
        <v>9</v>
      </c>
      <c r="C22" s="4" t="n">
        <v>50</v>
      </c>
      <c r="D22" s="5">
        <f>A22/10+0.25</f>
        <v/>
      </c>
      <c r="E22" s="5">
        <f>20/B22</f>
        <v/>
      </c>
      <c r="F22" s="5">
        <f>0.7-0.7/19*(E22-1)</f>
        <v/>
      </c>
      <c r="G22" s="5">
        <f>0.5-0.5/19*(E22-1)</f>
        <v/>
      </c>
      <c r="H22" s="6">
        <f>63.5*76*(1+F22^2*D22)/((E22+G22)*(1+D22)*20)</f>
        <v/>
      </c>
      <c r="I22" s="6">
        <f>H22/C22</f>
        <v/>
      </c>
    </row>
    <row r="23">
      <c r="A23" s="3" t="n">
        <v>4.2</v>
      </c>
      <c r="B23" s="4" t="n">
        <v>7</v>
      </c>
      <c r="C23" s="4" t="n">
        <v>50</v>
      </c>
      <c r="D23" s="5">
        <f>A23/10+0.25</f>
        <v/>
      </c>
      <c r="E23" s="5">
        <f>20/B23</f>
        <v/>
      </c>
      <c r="F23" s="5">
        <f>0.7-0.7/19*(E23-1)</f>
        <v/>
      </c>
      <c r="G23" s="5">
        <f>0.5-0.5/19*(E23-1)</f>
        <v/>
      </c>
      <c r="H23" s="6">
        <f>63.5*76*(1+F23^2*D23)/((E23+G23)*(1+D23)*20)</f>
        <v/>
      </c>
      <c r="I23" s="6">
        <f>H23/C23</f>
        <v/>
      </c>
    </row>
    <row r="24">
      <c r="A24" s="3" t="n">
        <v>4.4</v>
      </c>
      <c r="B24" s="4" t="n">
        <v>7</v>
      </c>
      <c r="C24" s="4" t="n">
        <v>50</v>
      </c>
      <c r="D24" s="5">
        <f>A24/10+0.25</f>
        <v/>
      </c>
      <c r="E24" s="5">
        <f>20/B24</f>
        <v/>
      </c>
      <c r="F24" s="5">
        <f>0.7-0.7/19*(E24-1)</f>
        <v/>
      </c>
      <c r="G24" s="5">
        <f>0.5-0.5/19*(E24-1)</f>
        <v/>
      </c>
      <c r="H24" s="6">
        <f>63.5*76*(1+F24^2*D24)/((E24+G24)*(1+D24)*20)</f>
        <v/>
      </c>
      <c r="I24" s="6">
        <f>H24/C24</f>
        <v/>
      </c>
    </row>
    <row r="25">
      <c r="A25" s="3" t="n">
        <v>4.6</v>
      </c>
      <c r="B25" s="4" t="n">
        <v>8</v>
      </c>
      <c r="C25" s="4" t="n">
        <v>50</v>
      </c>
      <c r="D25" s="5">
        <f>A25/10+0.25</f>
        <v/>
      </c>
      <c r="E25" s="5">
        <f>20/B25</f>
        <v/>
      </c>
      <c r="F25" s="5">
        <f>0.7-0.7/19*(E25-1)</f>
        <v/>
      </c>
      <c r="G25" s="5">
        <f>0.5-0.5/19*(E25-1)</f>
        <v/>
      </c>
      <c r="H25" s="6">
        <f>63.5*76*(1+F25^2*D25)/((E25+G25)*(1+D25)*20)</f>
        <v/>
      </c>
      <c r="I25" s="6">
        <f>H25/C25</f>
        <v/>
      </c>
    </row>
    <row r="26">
      <c r="A26" s="3" t="n">
        <v>4.8</v>
      </c>
      <c r="B26" s="4" t="n">
        <v>7</v>
      </c>
      <c r="C26" s="4" t="n">
        <v>50</v>
      </c>
      <c r="D26" s="5">
        <f>A26/10+0.25</f>
        <v/>
      </c>
      <c r="E26" s="5">
        <f>20/B26</f>
        <v/>
      </c>
      <c r="F26" s="5">
        <f>0.7-0.7/19*(E26-1)</f>
        <v/>
      </c>
      <c r="G26" s="5">
        <f>0.5-0.5/19*(E26-1)</f>
        <v/>
      </c>
      <c r="H26" s="6">
        <f>63.5*76*(1+F26^2*D26)/((E26+G26)*(1+D26)*20)</f>
        <v/>
      </c>
      <c r="I26" s="6">
        <f>H26/C26</f>
        <v/>
      </c>
    </row>
    <row r="27">
      <c r="A27" s="3" t="n">
        <v>5</v>
      </c>
      <c r="B27" s="4" t="n">
        <v>6</v>
      </c>
      <c r="C27" s="4" t="n">
        <v>50</v>
      </c>
      <c r="D27" s="5">
        <f>A27/10+0.25</f>
        <v/>
      </c>
      <c r="E27" s="5">
        <f>20/B27</f>
        <v/>
      </c>
      <c r="F27" s="5">
        <f>0.7-0.7/19*(E27-1)</f>
        <v/>
      </c>
      <c r="G27" s="5">
        <f>0.5-0.5/19*(E27-1)</f>
        <v/>
      </c>
      <c r="H27" s="6">
        <f>63.5*76*(1+F27^2*D27)/((E27+G27)*(1+D27)*20)</f>
        <v/>
      </c>
      <c r="I27" s="6">
        <f>H27/C27</f>
        <v/>
      </c>
    </row>
    <row r="28">
      <c r="A28" s="3" t="n">
        <v>5.2</v>
      </c>
      <c r="B28" s="4" t="n">
        <v>7</v>
      </c>
      <c r="C28" s="4" t="n">
        <v>50</v>
      </c>
      <c r="D28" s="5">
        <f>A28/10+0.25</f>
        <v/>
      </c>
      <c r="E28" s="5">
        <f>20/B28</f>
        <v/>
      </c>
      <c r="F28" s="5">
        <f>0.7-0.7/19*(E28-1)</f>
        <v/>
      </c>
      <c r="G28" s="5">
        <f>0.5-0.5/19*(E28-1)</f>
        <v/>
      </c>
      <c r="H28" s="6">
        <f>63.5*76*(1+F28^2*D28)/((E28+G28)*(1+D28)*20)</f>
        <v/>
      </c>
      <c r="I28" s="6">
        <f>H28/C28</f>
        <v/>
      </c>
    </row>
    <row r="29">
      <c r="A29" s="3" t="n">
        <v>5.4</v>
      </c>
      <c r="B29" s="4" t="n">
        <v>5</v>
      </c>
      <c r="C29" s="4" t="n">
        <v>50</v>
      </c>
      <c r="D29" s="5">
        <f>A29/10+0.25</f>
        <v/>
      </c>
      <c r="E29" s="5">
        <f>20/B29</f>
        <v/>
      </c>
      <c r="F29" s="5">
        <f>0.7-0.7/19*(E29-1)</f>
        <v/>
      </c>
      <c r="G29" s="5">
        <f>0.5-0.5/19*(E29-1)</f>
        <v/>
      </c>
      <c r="H29" s="6">
        <f>63.5*76*(1+F29^2*D29)/((E29+G29)*(1+D29)*20)</f>
        <v/>
      </c>
      <c r="I29" s="6">
        <f>H29/C29</f>
        <v/>
      </c>
    </row>
    <row r="30">
      <c r="A30" s="3" t="n">
        <v>5.6</v>
      </c>
      <c r="B30" s="4" t="n">
        <v>6</v>
      </c>
      <c r="C30" s="4" t="n">
        <v>50</v>
      </c>
      <c r="D30" s="5">
        <f>A30/10+0.25</f>
        <v/>
      </c>
      <c r="E30" s="5">
        <f>20/B30</f>
        <v/>
      </c>
      <c r="F30" s="5">
        <f>0.7-0.7/19*(E30-1)</f>
        <v/>
      </c>
      <c r="G30" s="5">
        <f>0.5-0.5/19*(E30-1)</f>
        <v/>
      </c>
      <c r="H30" s="6">
        <f>63.5*76*(1+F30^2*D30)/((E30+G30)*(1+D30)*20)</f>
        <v/>
      </c>
      <c r="I30" s="6">
        <f>H30/C30</f>
        <v/>
      </c>
    </row>
    <row r="31">
      <c r="A31" s="3" t="n">
        <v>5.8</v>
      </c>
      <c r="B31" s="4" t="n">
        <v>7</v>
      </c>
      <c r="C31" s="4" t="n">
        <v>50</v>
      </c>
      <c r="D31" s="5">
        <f>A31/10+0.25</f>
        <v/>
      </c>
      <c r="E31" s="5">
        <f>20/B31</f>
        <v/>
      </c>
      <c r="F31" s="5">
        <f>0.7-0.7/19*(E31-1)</f>
        <v/>
      </c>
      <c r="G31" s="5">
        <f>0.5-0.5/19*(E31-1)</f>
        <v/>
      </c>
      <c r="H31" s="6">
        <f>63.5*76*(1+F31^2*D31)/((E31+G31)*(1+D31)*20)</f>
        <v/>
      </c>
      <c r="I31" s="6">
        <f>H31/C31</f>
        <v/>
      </c>
    </row>
    <row r="32">
      <c r="A32" s="3" t="n">
        <v>6</v>
      </c>
      <c r="B32" s="4" t="n">
        <v>7</v>
      </c>
      <c r="C32" s="4" t="n">
        <v>50</v>
      </c>
      <c r="D32" s="5">
        <f>A32/10+0.25</f>
        <v/>
      </c>
      <c r="E32" s="5">
        <f>20/B32</f>
        <v/>
      </c>
      <c r="F32" s="5">
        <f>0.7-0.7/19*(E32-1)</f>
        <v/>
      </c>
      <c r="G32" s="5">
        <f>0.5-0.5/19*(E32-1)</f>
        <v/>
      </c>
      <c r="H32" s="6">
        <f>63.5*76*(1+F32^2*D32)/((E32+G32)*(1+D32)*20)</f>
        <v/>
      </c>
      <c r="I32" s="6">
        <f>H32/C32</f>
        <v/>
      </c>
    </row>
    <row r="33">
      <c r="A33" s="3" t="n">
        <v>6.2</v>
      </c>
      <c r="B33" s="4" t="n">
        <v>8</v>
      </c>
      <c r="C33" s="4" t="n">
        <v>50</v>
      </c>
      <c r="D33" s="5">
        <f>A33/10+0.25</f>
        <v/>
      </c>
      <c r="E33" s="5">
        <f>20/B33</f>
        <v/>
      </c>
      <c r="F33" s="5">
        <f>0.7-0.7/19*(E33-1)</f>
        <v/>
      </c>
      <c r="G33" s="5">
        <f>0.5-0.5/19*(E33-1)</f>
        <v/>
      </c>
      <c r="H33" s="6">
        <f>63.5*76*(1+F33^2*D33)/((E33+G33)*(1+D33)*20)</f>
        <v/>
      </c>
      <c r="I33" s="6">
        <f>H33/C33</f>
        <v/>
      </c>
    </row>
    <row r="34">
      <c r="A34" s="3" t="n">
        <v>6.4</v>
      </c>
      <c r="B34" s="4" t="n">
        <v>9</v>
      </c>
      <c r="C34" s="4" t="n">
        <v>50</v>
      </c>
      <c r="D34" s="5">
        <f>A34/10+0.25</f>
        <v/>
      </c>
      <c r="E34" s="5">
        <f>20/B34</f>
        <v/>
      </c>
      <c r="F34" s="5">
        <f>0.7-0.7/19*(E34-1)</f>
        <v/>
      </c>
      <c r="G34" s="5">
        <f>0.5-0.5/19*(E34-1)</f>
        <v/>
      </c>
      <c r="H34" s="6">
        <f>63.5*76*(1+F34^2*D34)/((E34+G34)*(1+D34)*20)</f>
        <v/>
      </c>
      <c r="I34" s="6">
        <f>H34/C34</f>
        <v/>
      </c>
    </row>
    <row r="35">
      <c r="A35" s="3" t="n">
        <v>6.6</v>
      </c>
      <c r="B35" s="4" t="n">
        <v>7</v>
      </c>
      <c r="C35" s="4" t="n">
        <v>50</v>
      </c>
      <c r="D35" s="5">
        <f>A35/10+0.25</f>
        <v/>
      </c>
      <c r="E35" s="5">
        <f>20/B35</f>
        <v/>
      </c>
      <c r="F35" s="5">
        <f>0.7-0.7/19*(E35-1)</f>
        <v/>
      </c>
      <c r="G35" s="5">
        <f>0.5-0.5/19*(E35-1)</f>
        <v/>
      </c>
      <c r="H35" s="6">
        <f>63.5*76*(1+F35^2*D35)/((E35+G35)*(1+D35)*20)</f>
        <v/>
      </c>
      <c r="I35" s="6">
        <f>H35/C35</f>
        <v/>
      </c>
    </row>
    <row r="36">
      <c r="A36" s="3" t="n">
        <v>6.8</v>
      </c>
      <c r="B36" s="4" t="n">
        <v>8</v>
      </c>
      <c r="C36" s="4" t="n">
        <v>50</v>
      </c>
      <c r="D36" s="5">
        <f>A36/10+0.25</f>
        <v/>
      </c>
      <c r="E36" s="5">
        <f>20/B36</f>
        <v/>
      </c>
      <c r="F36" s="5">
        <f>0.7-0.7/19*(E36-1)</f>
        <v/>
      </c>
      <c r="G36" s="5">
        <f>0.5-0.5/19*(E36-1)</f>
        <v/>
      </c>
      <c r="H36" s="6">
        <f>63.5*76*(1+F36^2*D36)/((E36+G36)*(1+D36)*20)</f>
        <v/>
      </c>
      <c r="I36" s="6">
        <f>H36/C36</f>
        <v/>
      </c>
    </row>
    <row r="37">
      <c r="A37" s="3" t="n">
        <v>7</v>
      </c>
      <c r="B37" s="4" t="n">
        <v>11</v>
      </c>
      <c r="C37" s="4" t="n">
        <v>50</v>
      </c>
      <c r="D37" s="5">
        <f>A37/10+0.25</f>
        <v/>
      </c>
      <c r="E37" s="5">
        <f>20/B37</f>
        <v/>
      </c>
      <c r="F37" s="5">
        <f>0.7-0.7/19*(E37-1)</f>
        <v/>
      </c>
      <c r="G37" s="5">
        <f>0.5-0.5/19*(E37-1)</f>
        <v/>
      </c>
      <c r="H37" s="6">
        <f>63.5*76*(1+F37^2*D37)/((E37+G37)*(1+D37)*20)</f>
        <v/>
      </c>
      <c r="I37" s="6">
        <f>H37/C37</f>
        <v/>
      </c>
    </row>
    <row r="38">
      <c r="A38" s="3" t="n">
        <v>7.2</v>
      </c>
      <c r="B38" s="4" t="n">
        <v>16</v>
      </c>
      <c r="C38" s="4" t="n">
        <v>50</v>
      </c>
      <c r="D38" s="5">
        <f>A38/10+0.25</f>
        <v/>
      </c>
      <c r="E38" s="5">
        <f>20/B38</f>
        <v/>
      </c>
      <c r="F38" s="5">
        <f>0.7-0.7/19*(E38-1)</f>
        <v/>
      </c>
      <c r="G38" s="5">
        <f>0.5-0.5/19*(E38-1)</f>
        <v/>
      </c>
      <c r="H38" s="6">
        <f>63.5*76*(1+F38^2*D38)/((E38+G38)*(1+D38)*20)</f>
        <v/>
      </c>
      <c r="I38" s="6">
        <f>H38/C38</f>
        <v/>
      </c>
    </row>
    <row r="39">
      <c r="A39" s="3" t="n">
        <v>7.4</v>
      </c>
      <c r="B39" s="4" t="n">
        <v>17</v>
      </c>
      <c r="C39" s="4" t="n">
        <v>50</v>
      </c>
      <c r="D39" s="5">
        <f>A39/10+0.25</f>
        <v/>
      </c>
      <c r="E39" s="5">
        <f>20/B39</f>
        <v/>
      </c>
      <c r="F39" s="5">
        <f>0.7-0.7/19*(E39-1)</f>
        <v/>
      </c>
      <c r="G39" s="5">
        <f>0.5-0.5/19*(E39-1)</f>
        <v/>
      </c>
      <c r="H39" s="6">
        <f>63.5*76*(1+F39^2*D39)/((E39+G39)*(1+D39)*20)</f>
        <v/>
      </c>
      <c r="I39" s="6">
        <f>H39/C39</f>
        <v/>
      </c>
    </row>
    <row r="40">
      <c r="A40" s="3" t="n">
        <v>7.6</v>
      </c>
      <c r="B40" s="4" t="n">
        <v>18</v>
      </c>
      <c r="C40" s="4" t="n">
        <v>50</v>
      </c>
      <c r="D40" s="5">
        <f>A40/10+0.25</f>
        <v/>
      </c>
      <c r="E40" s="5">
        <f>20/B40</f>
        <v/>
      </c>
      <c r="F40" s="5">
        <f>0.7-0.7/19*(E40-1)</f>
        <v/>
      </c>
      <c r="G40" s="5">
        <f>0.5-0.5/19*(E40-1)</f>
        <v/>
      </c>
      <c r="H40" s="6">
        <f>63.5*76*(1+F40^2*D40)/((E40+G40)*(1+D40)*20)</f>
        <v/>
      </c>
      <c r="I40" s="6">
        <f>H40/C40</f>
        <v/>
      </c>
    </row>
    <row r="41">
      <c r="A41" s="3" t="n">
        <v>7.8</v>
      </c>
      <c r="B41" s="4" t="n">
        <v>31</v>
      </c>
      <c r="C41" s="4" t="n">
        <v>50</v>
      </c>
      <c r="D41" s="5">
        <f>A41/10+0.25</f>
        <v/>
      </c>
      <c r="E41" s="5">
        <f>20/B41</f>
        <v/>
      </c>
      <c r="F41" s="5">
        <f>0.7-0.7/19*(E41-1)</f>
        <v/>
      </c>
      <c r="G41" s="5">
        <f>0.5-0.5/19*(E41-1)</f>
        <v/>
      </c>
      <c r="H41" s="6">
        <f>63.5*76*(1+F41^2*D41)/((E41+G41)*(1+D41)*20)</f>
        <v/>
      </c>
      <c r="I41" s="6">
        <f>H41/C41</f>
        <v/>
      </c>
    </row>
    <row r="42">
      <c r="A42" s="3" t="n">
        <v>8</v>
      </c>
      <c r="B42" s="4" t="n">
        <v>52</v>
      </c>
      <c r="C42" s="4" t="n">
        <v>50</v>
      </c>
      <c r="D42" s="5">
        <f>A42/10+0.25</f>
        <v/>
      </c>
      <c r="E42" s="5">
        <f>20/B42</f>
        <v/>
      </c>
      <c r="F42" s="5">
        <f>0.7-0.7/19*(E42-1)</f>
        <v/>
      </c>
      <c r="G42" s="5">
        <f>0.5-0.5/19*(E42-1)</f>
        <v/>
      </c>
      <c r="H42" s="6">
        <f>63.5*76*(1+F42^2*D42)/((E42+G42)*(1+D42)*20)</f>
        <v/>
      </c>
      <c r="I42" s="6">
        <f>H42/C42</f>
        <v/>
      </c>
    </row>
    <row r="43">
      <c r="A43" s="3" t="n">
        <v>8.199999999999999</v>
      </c>
      <c r="B43" s="4" t="n">
        <v>100</v>
      </c>
      <c r="C43" s="4" t="n">
        <v>50</v>
      </c>
      <c r="D43" s="5">
        <f>A43/10+0.25</f>
        <v/>
      </c>
      <c r="E43" s="5">
        <f>20/B43</f>
        <v/>
      </c>
      <c r="F43" s="5">
        <f>0.7-0.7/19*(E43-1)</f>
        <v/>
      </c>
      <c r="G43" s="5">
        <f>0.5-0.5/19*(E43-1)</f>
        <v/>
      </c>
      <c r="H43" s="6">
        <f>63.5*76*(1+F43^2*D43)/((E43+G43)*(1+D43)*20)</f>
        <v/>
      </c>
      <c r="I43" s="6">
        <f>H43/C43</f>
        <v/>
      </c>
    </row>
  </sheetData>
  <mergeCells count="1">
    <mergeCell ref="A1:I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2026-02-03T22:15:50Z</dcterms:created>
  <dcterms:modified xmlns:dcterms="http://purl.org/dc/terms/" xmlns:xsi="http://www.w3.org/2001/XMLSchema-instance" xsi:type="dcterms:W3CDTF">2026-02-03T22:15:50Z</dcterms:modified>
</cp:coreProperties>
</file>