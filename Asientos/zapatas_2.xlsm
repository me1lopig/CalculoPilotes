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embeddings/oleObject1.bin" ContentType="application/vnd.openxmlformats-officedocument.oleObject"/>
  <Override PartName="/xl/embeddings/oleObject2.bin" ContentType="application/vnd.openxmlformats-officedocument.oleObject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11" codeName="{A63ED3A1-9429-3D75-F2AA-CA7E51A8F3A1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/Users/glopez/Documents/Python/CalculoPilotes/Asientos/"/>
    </mc:Choice>
  </mc:AlternateContent>
  <xr:revisionPtr revIDLastSave="0" documentId="8_{38950CF1-8FCE-7544-A91E-AC5A5F184CEE}" xr6:coauthVersionLast="47" xr6:coauthVersionMax="47" xr10:uidLastSave="{00000000-0000-0000-0000-000000000000}"/>
  <bookViews>
    <workbookView xWindow="0" yWindow="460" windowWidth="20740" windowHeight="11160" tabRatio="694" xr2:uid="{1C796E97-0D6E-4DCC-BC41-3C4C864BBF2A}"/>
  </bookViews>
  <sheets>
    <sheet name="ROCA" sheetId="1" r:id="rId1"/>
    <sheet name="SUELOS" sheetId="2" r:id="rId2"/>
    <sheet name="SUELOS GRANULARES" sheetId="3" r:id="rId3"/>
  </sheets>
  <definedNames>
    <definedName name="_xlnm.Print_Area" localSheetId="0">ROCA!$A$1:$K$84</definedName>
    <definedName name="_xlnm.Print_Area" localSheetId="1">SUELOS!$A$1:$M$97,SUELOS!$P$1:$AB$98</definedName>
    <definedName name="_xlnm.Print_Area" localSheetId="2">'SUELOS GRANULARES'!$A$1:$P$97</definedName>
    <definedName name="_xlnm.Criteria">#REF!</definedName>
    <definedName name="Tiempo__s">#REF!</definedName>
    <definedName name="Z_12114348_3A8D_4935_A6F6_768010CCAE46_.wvu.PrintArea" localSheetId="0" hidden="1">ROCA!$A$1:$K$84</definedName>
    <definedName name="Z_12114348_3A8D_4935_A6F6_768010CCAE46_.wvu.PrintArea" localSheetId="1" hidden="1">SUELOS!$A$1:$M$97,SUELOS!$P$1:$AB$98</definedName>
    <definedName name="Z_12114348_3A8D_4935_A6F6_768010CCAE46_.wvu.PrintArea" localSheetId="2" hidden="1">'SUELOS GRANULARES'!$A$1:$P$97</definedName>
    <definedName name="Z_20C30929_F252_406C_8D94_44905722B9D9_.wvu.PrintArea" localSheetId="0" hidden="1">ROCA!$A$1:$K$84</definedName>
    <definedName name="Z_20C30929_F252_406C_8D94_44905722B9D9_.wvu.PrintArea" localSheetId="1" hidden="1">SUELOS!$A$1:$M$97,SUELOS!$P$1:$AB$98</definedName>
    <definedName name="Z_20C30929_F252_406C_8D94_44905722B9D9_.wvu.PrintArea" localSheetId="2" hidden="1">'SUELOS GRANULARES'!$A$1:$P$97</definedName>
    <definedName name="Z_2F909812_D728_4B8D_9839_2364091D9253_.wvu.PrintArea" localSheetId="0" hidden="1">ROCA!$A$1:$K$84</definedName>
    <definedName name="Z_2F909812_D728_4B8D_9839_2364091D9253_.wvu.PrintArea" localSheetId="1" hidden="1">SUELOS!$A$1:$M$97,SUELOS!$P$1:$AB$98</definedName>
    <definedName name="Z_2F909812_D728_4B8D_9839_2364091D9253_.wvu.PrintArea" localSheetId="2" hidden="1">'SUELOS GRANULARES'!$A$1:$P$97</definedName>
    <definedName name="Z_543E864F_509F_4920_81D1_F8BE4AA5D61C_.wvu.PrintArea" localSheetId="0" hidden="1">ROCA!$A$1:$K$84</definedName>
    <definedName name="Z_543E864F_509F_4920_81D1_F8BE4AA5D61C_.wvu.PrintArea" localSheetId="1" hidden="1">SUELOS!$A$1:$M$97,SUELOS!$P$1:$AB$98</definedName>
    <definedName name="Z_543E864F_509F_4920_81D1_F8BE4AA5D61C_.wvu.PrintArea" localSheetId="2" hidden="1">'SUELOS GRANULARES'!$A$1:$P$97</definedName>
    <definedName name="Z_5A0DBCB3_B2E7_4F2F_A73A_3B24630E7D1A_.wvu.PrintArea" localSheetId="0" hidden="1">ROCA!$A$1:$K$84</definedName>
    <definedName name="Z_5A0DBCB3_B2E7_4F2F_A73A_3B24630E7D1A_.wvu.PrintArea" localSheetId="1" hidden="1">SUELOS!$A$1:$M$97,SUELOS!$P$1:$AB$98</definedName>
    <definedName name="Z_5A0DBCB3_B2E7_4F2F_A73A_3B24630E7D1A_.wvu.PrintArea" localSheetId="2" hidden="1">'SUELOS GRANULARES'!$A$1:$P$97</definedName>
    <definedName name="Z_65522948_B87D_4DE1_A919_A9DBF05A422E_.wvu.PrintArea" localSheetId="0" hidden="1">ROCA!$A$1:$K$84</definedName>
    <definedName name="Z_65522948_B87D_4DE1_A919_A9DBF05A422E_.wvu.PrintArea" localSheetId="1" hidden="1">SUELOS!$A$1:$M$97,SUELOS!$P$1:$AB$98</definedName>
    <definedName name="Z_65522948_B87D_4DE1_A919_A9DBF05A422E_.wvu.PrintArea" localSheetId="2" hidden="1">'SUELOS GRANULARES'!$A$1:$P$97</definedName>
    <definedName name="Z_6D1BF510_2AF1_43B4_AE7F_259F79E565AC_.wvu.PrintArea" localSheetId="0" hidden="1">ROCA!$A$1:$K$84</definedName>
    <definedName name="Z_6D1BF510_2AF1_43B4_AE7F_259F79E565AC_.wvu.PrintArea" localSheetId="1" hidden="1">SUELOS!$A$1:$M$97,SUELOS!$P$1:$AB$98</definedName>
    <definedName name="Z_6D1BF510_2AF1_43B4_AE7F_259F79E565AC_.wvu.PrintArea" localSheetId="2" hidden="1">'SUELOS GRANULARES'!$A$1:$P$97</definedName>
    <definedName name="Z_7FD2F097_FB49_43FA_AD37_E78F103B659E_.wvu.PrintArea" localSheetId="0" hidden="1">ROCA!$A$1:$K$84</definedName>
    <definedName name="Z_7FD2F097_FB49_43FA_AD37_E78F103B659E_.wvu.PrintArea" localSheetId="1" hidden="1">SUELOS!$A$1:$M$97,SUELOS!$P$1:$AB$98</definedName>
    <definedName name="Z_7FD2F097_FB49_43FA_AD37_E78F103B659E_.wvu.PrintArea" localSheetId="2" hidden="1">'SUELOS GRANULARES'!$A$1:$P$97</definedName>
    <definedName name="Z_8127D4AB_9453_4548_91B7_C6CE80D2789C_.wvu.PrintArea" localSheetId="0" hidden="1">ROCA!$A$1:$K$84</definedName>
    <definedName name="Z_8127D4AB_9453_4548_91B7_C6CE80D2789C_.wvu.PrintArea" localSheetId="1" hidden="1">SUELOS!$A$1:$M$97,SUELOS!$P$1:$AB$98</definedName>
    <definedName name="Z_8127D4AB_9453_4548_91B7_C6CE80D2789C_.wvu.PrintArea" localSheetId="2" hidden="1">'SUELOS GRANULARES'!$A$1:$P$97</definedName>
  </definedNames>
  <calcPr calcId="191029"/>
  <customWorkbookViews>
    <customWorkbookView name="German Lopez Pineda - Vista personalizada" guid="{65522948-B87D-4DE1-A919-A9DBF05A422E}" mergeInterval="0" personalView="1" maximized="1" xWindow="-8" yWindow="-8" windowWidth="1382" windowHeight="744" tabRatio="694" activeSheetId="2"/>
    <customWorkbookView name="JPR2269 - Vista personalizada" guid="{7FD2F097-FB49-43FA-AD37-E78F103B659E}" mergeInterval="0" personalView="1" maximized="1" windowWidth="1020" windowHeight="527" tabRatio="694" activeSheetId="3"/>
    <customWorkbookView name="MSM2027 - Vista personalizada" guid="{12114348-3A8D-4935-A6F6-768010CCAE46}" mergeInterval="0" personalView="1" maximized="1" windowWidth="852" windowHeight="459" tabRatio="694" activeSheetId="2"/>
    <customWorkbookView name="LML3050 - Vista personalizada" guid="{20C30929-F252-406C-8D94-44905722B9D9}" mergeInterval="0" personalView="1" maximized="1" windowWidth="1020" windowHeight="596" tabRatio="694" activeSheetId="2"/>
    <customWorkbookView name="ETR2837 - Vista personalizada" guid="{8127D4AB-9453-4548-91B7-C6CE80D2789C}" mergeInterval="0" personalView="1" maximized="1" windowWidth="1148" windowHeight="718" tabRatio="694" activeSheetId="1"/>
    <customWorkbookView name="JFL0733 - Vista personalizada" guid="{6D1BF510-2AF1-43B4-AE7F-259F79E565AC}" mergeInterval="0" personalView="1" maximized="1" windowWidth="1020" windowHeight="539" tabRatio="694" activeSheetId="2"/>
    <customWorkbookView name="jrm3264 - Vista personalizada" guid="{543E864F-509F-4920-81D1-F8BE4AA5D61C}" mergeInterval="0" personalView="1" maximized="1" windowWidth="1020" windowHeight="570" tabRatio="694" activeSheetId="2"/>
    <customWorkbookView name="Full Name - Vista personalizada" guid="{2F909812-D728-4B8D-9839-2364091D9253}" mergeInterval="0" personalView="1" maximized="1" windowWidth="1148" windowHeight="635" tabRatio="694" activeSheetId="2"/>
    <customWorkbookView name="Irene Villegas Barranco - Vista personalizada" guid="{5A0DBCB3-B2E7-4F2F-A73A-3B24630E7D1A}" mergeInterval="0" personalView="1" maximized="1" windowWidth="1280" windowHeight="838" tabRatio="694" activeSheetId="2"/>
  </customWorkbookViews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W37" i="2" l="1"/>
  <c r="W42" i="2" s="1"/>
  <c r="I50" i="3"/>
  <c r="J50" i="3"/>
  <c r="K50" i="3"/>
  <c r="K53" i="3"/>
  <c r="L50" i="3"/>
  <c r="L52" i="3"/>
  <c r="M50" i="3"/>
  <c r="I52" i="3"/>
  <c r="I60" i="3"/>
  <c r="J52" i="3"/>
  <c r="J61" i="3"/>
  <c r="K52" i="3"/>
  <c r="K58" i="3"/>
  <c r="M52" i="3"/>
  <c r="M60" i="3"/>
  <c r="I53" i="3"/>
  <c r="I62" i="3"/>
  <c r="J53" i="3"/>
  <c r="J54" i="3"/>
  <c r="L53" i="3"/>
  <c r="M53" i="3"/>
  <c r="M62" i="3"/>
  <c r="E58" i="3"/>
  <c r="F58" i="3"/>
  <c r="I58" i="3"/>
  <c r="M58" i="3"/>
  <c r="E59" i="3"/>
  <c r="F59" i="3"/>
  <c r="F63" i="3"/>
  <c r="E60" i="3"/>
  <c r="F60" i="3"/>
  <c r="E61" i="3"/>
  <c r="F61" i="3"/>
  <c r="F62" i="3"/>
  <c r="D71" i="3"/>
  <c r="F71" i="3"/>
  <c r="G71" i="3"/>
  <c r="J71" i="3"/>
  <c r="D72" i="3"/>
  <c r="G72" i="3"/>
  <c r="J72" i="3"/>
  <c r="D73" i="3"/>
  <c r="F73" i="3"/>
  <c r="J73" i="3"/>
  <c r="D74" i="3"/>
  <c r="G74" i="3"/>
  <c r="J74" i="3"/>
  <c r="D75" i="3"/>
  <c r="F75" i="3"/>
  <c r="G75" i="3"/>
  <c r="J75" i="3"/>
  <c r="S6" i="2"/>
  <c r="S7" i="2"/>
  <c r="S8" i="2"/>
  <c r="N23" i="2"/>
  <c r="F29" i="2"/>
  <c r="I43" i="2"/>
  <c r="K43" i="2"/>
  <c r="AG37" i="2"/>
  <c r="AH37" i="2"/>
  <c r="AI37" i="2"/>
  <c r="AP37" i="2" s="1"/>
  <c r="AJ37" i="2"/>
  <c r="AK37" i="2"/>
  <c r="W38" i="2"/>
  <c r="AG38" i="2"/>
  <c r="AH38" i="2"/>
  <c r="AI38" i="2"/>
  <c r="AJ38" i="2"/>
  <c r="AK38" i="2"/>
  <c r="I39" i="2"/>
  <c r="J39" i="2"/>
  <c r="K39" i="2"/>
  <c r="W39" i="2"/>
  <c r="AG39" i="2"/>
  <c r="AH39" i="2"/>
  <c r="AI39" i="2"/>
  <c r="AJ39" i="2"/>
  <c r="AK39" i="2"/>
  <c r="AT39" i="2"/>
  <c r="I40" i="2"/>
  <c r="K40" i="2"/>
  <c r="J40" i="2"/>
  <c r="W40" i="2"/>
  <c r="AG40" i="2"/>
  <c r="AH40" i="2"/>
  <c r="AI40" i="2"/>
  <c r="AJ40" i="2"/>
  <c r="AK40" i="2"/>
  <c r="AT40" i="2"/>
  <c r="I41" i="2"/>
  <c r="J41" i="2"/>
  <c r="K41" i="2"/>
  <c r="N41" i="2"/>
  <c r="W41" i="2"/>
  <c r="AG41" i="2"/>
  <c r="AH41" i="2"/>
  <c r="AI41" i="2"/>
  <c r="AJ41" i="2"/>
  <c r="AK41" i="2"/>
  <c r="AT41" i="2"/>
  <c r="I42" i="2"/>
  <c r="J42" i="2"/>
  <c r="K42" i="2"/>
  <c r="J43" i="2"/>
  <c r="C48" i="2"/>
  <c r="K48" i="2"/>
  <c r="C52" i="2"/>
  <c r="C64" i="2"/>
  <c r="D64" i="2"/>
  <c r="E64" i="2"/>
  <c r="F64" i="2"/>
  <c r="H64" i="2"/>
  <c r="H71" i="2"/>
  <c r="I64" i="2"/>
  <c r="J64" i="2"/>
  <c r="J71" i="2"/>
  <c r="K64" i="2"/>
  <c r="L64" i="2"/>
  <c r="L71" i="2"/>
  <c r="C66" i="2"/>
  <c r="D66" i="2"/>
  <c r="I66" i="2"/>
  <c r="E66" i="2"/>
  <c r="F66" i="2"/>
  <c r="K66" i="2"/>
  <c r="G66" i="2"/>
  <c r="H66" i="2"/>
  <c r="J66" i="2"/>
  <c r="L66" i="2"/>
  <c r="C67" i="2"/>
  <c r="H67" i="2"/>
  <c r="D67" i="2"/>
  <c r="E67" i="2"/>
  <c r="J67" i="2"/>
  <c r="F67" i="2"/>
  <c r="G67" i="2"/>
  <c r="L67" i="2"/>
  <c r="I67" i="2"/>
  <c r="K67" i="2"/>
  <c r="H68" i="2"/>
  <c r="I68" i="2"/>
  <c r="J68" i="2"/>
  <c r="K68" i="2"/>
  <c r="L68" i="2"/>
  <c r="T68" i="2"/>
  <c r="I70" i="2"/>
  <c r="J70" i="2"/>
  <c r="K70" i="2"/>
  <c r="C71" i="2"/>
  <c r="D71" i="2"/>
  <c r="E71" i="2"/>
  <c r="F71" i="2"/>
  <c r="G71" i="2"/>
  <c r="I71" i="2"/>
  <c r="K71" i="2"/>
  <c r="I72" i="2"/>
  <c r="J72" i="2"/>
  <c r="K72" i="2"/>
  <c r="F75" i="2"/>
  <c r="C76" i="2"/>
  <c r="C75" i="2"/>
  <c r="F76" i="2"/>
  <c r="F77" i="2"/>
  <c r="B88" i="2"/>
  <c r="T66" i="2"/>
  <c r="B89" i="2"/>
  <c r="B90" i="2"/>
  <c r="Q54" i="2"/>
  <c r="T94" i="2"/>
  <c r="B91" i="2"/>
  <c r="Q55" i="2"/>
  <c r="T95" i="2"/>
  <c r="U92" i="2"/>
  <c r="V92" i="2" s="1"/>
  <c r="W92" i="2"/>
  <c r="X92" i="2" s="1"/>
  <c r="U93" i="2"/>
  <c r="V93" i="2" s="1"/>
  <c r="W93" i="2"/>
  <c r="X93" i="2" s="1"/>
  <c r="U94" i="2"/>
  <c r="V94" i="2" s="1"/>
  <c r="W94" i="2"/>
  <c r="X94" i="2" s="1"/>
  <c r="U95" i="2"/>
  <c r="V95" i="2" s="1"/>
  <c r="W95" i="2"/>
  <c r="X95" i="2" s="1"/>
  <c r="U96" i="2"/>
  <c r="V96" i="2" s="1"/>
  <c r="W96" i="2"/>
  <c r="X96" i="2" s="1"/>
  <c r="J63" i="1"/>
  <c r="J64" i="1"/>
  <c r="J65" i="1"/>
  <c r="J66" i="1"/>
  <c r="C75" i="1"/>
  <c r="D75" i="1"/>
  <c r="E75" i="1"/>
  <c r="C76" i="1"/>
  <c r="D76" i="1"/>
  <c r="E76" i="1"/>
  <c r="C77" i="1"/>
  <c r="D77" i="1"/>
  <c r="E77" i="1"/>
  <c r="C78" i="1"/>
  <c r="D78" i="1"/>
  <c r="E78" i="1"/>
  <c r="C79" i="1"/>
  <c r="D79" i="1"/>
  <c r="E79" i="1"/>
  <c r="K54" i="3"/>
  <c r="K63" i="3"/>
  <c r="K60" i="3"/>
  <c r="G73" i="3"/>
  <c r="K59" i="3"/>
  <c r="H73" i="3"/>
  <c r="L73" i="3"/>
  <c r="K62" i="3"/>
  <c r="L59" i="3"/>
  <c r="L62" i="3"/>
  <c r="L58" i="3"/>
  <c r="L54" i="3"/>
  <c r="L61" i="3"/>
  <c r="L60" i="3"/>
  <c r="F74" i="3"/>
  <c r="G98" i="2"/>
  <c r="C92" i="2"/>
  <c r="J63" i="3"/>
  <c r="L63" i="3"/>
  <c r="Q53" i="2"/>
  <c r="T93" i="2"/>
  <c r="T67" i="2"/>
  <c r="J98" i="2"/>
  <c r="E90" i="2"/>
  <c r="L72" i="2"/>
  <c r="H72" i="2"/>
  <c r="L70" i="2"/>
  <c r="L98" i="2"/>
  <c r="E92" i="2"/>
  <c r="H70" i="2"/>
  <c r="B92" i="2"/>
  <c r="T69" i="2"/>
  <c r="Q52" i="2"/>
  <c r="T92" i="2"/>
  <c r="F72" i="3"/>
  <c r="M61" i="3"/>
  <c r="I61" i="3"/>
  <c r="J58" i="3"/>
  <c r="M54" i="3"/>
  <c r="M63" i="3"/>
  <c r="I54" i="3"/>
  <c r="I63" i="3"/>
  <c r="J62" i="3"/>
  <c r="J59" i="3"/>
  <c r="C77" i="2"/>
  <c r="C98" i="2"/>
  <c r="C88" i="2"/>
  <c r="G64" i="2"/>
  <c r="K61" i="3"/>
  <c r="J60" i="3"/>
  <c r="M59" i="3"/>
  <c r="H75" i="3"/>
  <c r="L75" i="3"/>
  <c r="I59" i="3"/>
  <c r="H71" i="3"/>
  <c r="L71" i="3"/>
  <c r="U66" i="2"/>
  <c r="V66" i="2"/>
  <c r="X70" i="2"/>
  <c r="W70" i="2"/>
  <c r="F98" i="2"/>
  <c r="C91" i="2"/>
  <c r="I98" i="2"/>
  <c r="E89" i="2"/>
  <c r="H98" i="2"/>
  <c r="E88" i="2"/>
  <c r="E98" i="2"/>
  <c r="C90" i="2"/>
  <c r="K98" i="2"/>
  <c r="E91" i="2"/>
  <c r="H74" i="3"/>
  <c r="L74" i="3"/>
  <c r="D98" i="2"/>
  <c r="C89" i="2"/>
  <c r="H72" i="3"/>
  <c r="L72" i="3"/>
  <c r="W68" i="2"/>
  <c r="X68" i="2"/>
  <c r="V70" i="2"/>
  <c r="U70" i="2"/>
  <c r="T70" i="2"/>
  <c r="Q56" i="2"/>
  <c r="U67" i="2"/>
  <c r="V67" i="2"/>
  <c r="T96" i="2"/>
  <c r="X66" i="2"/>
  <c r="W66" i="2"/>
  <c r="U68" i="2"/>
  <c r="V68" i="2"/>
  <c r="W67" i="2"/>
  <c r="X67" i="2"/>
  <c r="X69" i="2"/>
  <c r="W69" i="2"/>
  <c r="V69" i="2"/>
  <c r="U69" i="2"/>
  <c r="V55" i="2" l="1"/>
  <c r="V53" i="2"/>
  <c r="V54" i="2"/>
  <c r="V56" i="2"/>
  <c r="V52" i="2"/>
  <c r="AL40" i="2"/>
  <c r="AN40" i="2" s="1"/>
  <c r="AL39" i="2"/>
  <c r="AN39" i="2" s="1"/>
  <c r="AM40" i="2"/>
  <c r="AQ40" i="2" s="1"/>
  <c r="AL37" i="2"/>
  <c r="AN37" i="2" s="1"/>
  <c r="AR37" i="2" s="1"/>
  <c r="AM41" i="2"/>
  <c r="AQ41" i="2" s="1"/>
  <c r="AM38" i="2"/>
  <c r="AO38" i="2" s="1"/>
  <c r="V97" i="2"/>
  <c r="X97" i="2"/>
  <c r="AL38" i="2"/>
  <c r="AN38" i="2" s="1"/>
  <c r="AM39" i="2"/>
  <c r="AQ39" i="2" s="1"/>
  <c r="AM37" i="2"/>
  <c r="AO37" i="2" s="1"/>
  <c r="AL41" i="2"/>
  <c r="AN41" i="2" s="1"/>
  <c r="AO41" i="2" l="1"/>
  <c r="AS41" i="2" s="1"/>
  <c r="AP40" i="2"/>
  <c r="AR40" i="2" s="1"/>
  <c r="AP39" i="2"/>
  <c r="AR39" i="2" s="1"/>
  <c r="AQ38" i="2"/>
  <c r="AS38" i="2" s="1"/>
  <c r="AO40" i="2"/>
  <c r="AS40" i="2" s="1"/>
  <c r="AO39" i="2"/>
  <c r="AS39" i="2" s="1"/>
  <c r="AP38" i="2"/>
  <c r="AR38" i="2" s="1"/>
  <c r="AQ37" i="2"/>
  <c r="AS37" i="2" s="1"/>
  <c r="AT37" i="2" s="1"/>
  <c r="AP41" i="2"/>
  <c r="AR41" i="2" s="1"/>
  <c r="AT38" i="2" l="1"/>
  <c r="AT42" i="2" s="1"/>
</calcChain>
</file>

<file path=xl/sharedStrings.xml><?xml version="1.0" encoding="utf-8"?>
<sst xmlns="http://schemas.openxmlformats.org/spreadsheetml/2006/main" count="357" uniqueCount="248">
  <si>
    <t>MPa</t>
  </si>
  <si>
    <t>º</t>
  </si>
  <si>
    <t>Expediente</t>
  </si>
  <si>
    <t>1/C831/003/001</t>
  </si>
  <si>
    <t>UTE AYESA-CEMOSA</t>
  </si>
  <si>
    <t>Auscultación de la Plataforma Este Fase 1A Aeropuerto de Málaga</t>
  </si>
  <si>
    <t>KPa</t>
  </si>
  <si>
    <t>NIVEL 1</t>
  </si>
  <si>
    <t>NIVEL 2</t>
  </si>
  <si>
    <t>NIVEL 3</t>
  </si>
  <si>
    <t>NIVEL 4</t>
  </si>
  <si>
    <t>NIVEL 5</t>
  </si>
  <si>
    <t>Prof. inicial</t>
  </si>
  <si>
    <t>Prof. final</t>
  </si>
  <si>
    <t>m</t>
  </si>
  <si>
    <t>Espesor</t>
  </si>
  <si>
    <t>Nivel freático</t>
  </si>
  <si>
    <r>
      <t>N</t>
    </r>
    <r>
      <rPr>
        <b/>
        <vertAlign val="subscript"/>
        <sz val="10"/>
        <rFont val="Arial"/>
        <family val="2"/>
      </rPr>
      <t>SPT</t>
    </r>
  </si>
  <si>
    <t>Hsup</t>
  </si>
  <si>
    <t>Hinf</t>
  </si>
  <si>
    <t>Zona de influencia (m)</t>
  </si>
  <si>
    <t>Tipo de roca</t>
  </si>
  <si>
    <t>DIN 1054</t>
  </si>
  <si>
    <t>Rocas ígneas (granitos y gneises), sanas</t>
  </si>
  <si>
    <t>Calizas y areniscas duras</t>
  </si>
  <si>
    <t>Esquistos y pizarras</t>
  </si>
  <si>
    <t>Argilitas y limolitas duras, areniscas blandas</t>
  </si>
  <si>
    <t>Arenas cementadas</t>
  </si>
  <si>
    <t>Argilitas y limolitas blandas</t>
  </si>
  <si>
    <t>Calizas blandas y porosas</t>
  </si>
  <si>
    <t>CIMENTACIONES SUPERFICIALES EN ROCA</t>
  </si>
  <si>
    <t>NORMAS Y CÓDIGOS DE USO HABITUAL</t>
  </si>
  <si>
    <t>Estado del macizo</t>
  </si>
  <si>
    <t>Roca sana o poco alterada</t>
  </si>
  <si>
    <t>Roca quebradiza o con huellas de alteración</t>
  </si>
  <si>
    <t>Homogéneo</t>
  </si>
  <si>
    <t>Estratificado o diaclasado</t>
  </si>
  <si>
    <t>- En caso de edificaciones sencillas con cargas de trabajo no muy elevadas</t>
  </si>
  <si>
    <t>CP 2004/1972</t>
  </si>
  <si>
    <r>
      <t>q</t>
    </r>
    <r>
      <rPr>
        <vertAlign val="subscript"/>
        <sz val="10"/>
        <rFont val="Arial"/>
        <family val="2"/>
      </rPr>
      <t>adm</t>
    </r>
  </si>
  <si>
    <t>0,6-1,0</t>
  </si>
  <si>
    <r>
      <t>- Para rocas sanas o poco meteorizadas (q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&gt;2,5MPa, RQD&gt;25 y GM&lt;IV)</t>
    </r>
  </si>
  <si>
    <t>CTE 2006</t>
  </si>
  <si>
    <t>Rocas diaclasadas de cualquier tipo con espaciamiento de discontinuidades superior a 0,30m, excepto rocas arcillosas</t>
  </si>
  <si>
    <t>Calizas, areniscas y rocas pizarrosas con pequeño espaciamiento de los planos de estratificación</t>
  </si>
  <si>
    <t>Rocas muy diaclasadas o meteorizadas</t>
  </si>
  <si>
    <t>1,0-4,0</t>
  </si>
  <si>
    <t>0,5-1,0</t>
  </si>
  <si>
    <t>(ver 3)</t>
  </si>
  <si>
    <r>
      <t>(1)</t>
    </r>
    <r>
      <rPr>
        <sz val="8"/>
        <rFont val="Arial"/>
        <family val="2"/>
      </rPr>
      <t xml:space="preserve"> Los valores indicados serán aplicables para estratificación y/o foliación subhorizontal. Los macizos rocosos con discontinuidades inclinadas, especialmente en las cercanías de taludes, deben ser objeto de análisis especial</t>
    </r>
  </si>
  <si>
    <r>
      <t>(2)</t>
    </r>
    <r>
      <rPr>
        <sz val="8"/>
        <rFont val="Arial"/>
        <family val="2"/>
      </rPr>
      <t xml:space="preserve"> Se admiten pequeñas discontinuidade con espaciamiento superior a 1m</t>
    </r>
  </si>
  <si>
    <t>Observaciones: Para rocas estables en agua</t>
  </si>
  <si>
    <r>
      <t xml:space="preserve">(3) </t>
    </r>
    <r>
      <rPr>
        <sz val="8"/>
        <rFont val="Arial"/>
        <family val="2"/>
      </rPr>
      <t>Estos casos deben ser investigados "in situ"</t>
    </r>
  </si>
  <si>
    <t>CÁLCULO ANALÍTICO SIMPLIFICADO</t>
  </si>
  <si>
    <t>PARÁMETROS DE CÁLCULO</t>
  </si>
  <si>
    <t>Espaciamiento de las discontinuidades</t>
  </si>
  <si>
    <t>s</t>
  </si>
  <si>
    <t>Apertura de las discontinuidades</t>
  </si>
  <si>
    <t>a</t>
  </si>
  <si>
    <t>mm</t>
  </si>
  <si>
    <r>
      <t>q</t>
    </r>
    <r>
      <rPr>
        <vertAlign val="subscript"/>
        <sz val="10"/>
        <rFont val="Arial"/>
        <family val="2"/>
      </rPr>
      <t>u</t>
    </r>
  </si>
  <si>
    <t>COMPROBACIONES</t>
  </si>
  <si>
    <t>s&gt;300mm</t>
  </si>
  <si>
    <t>a&lt;5mm en junta limpia</t>
  </si>
  <si>
    <t>a&lt;25mm en junta rellena con suelo o fragmentos de roca alterada</t>
  </si>
  <si>
    <t>Estado de juntas</t>
  </si>
  <si>
    <t>0&lt;a/s&lt;0,02</t>
  </si>
  <si>
    <t>CUMPLE</t>
  </si>
  <si>
    <t>Limpias</t>
  </si>
  <si>
    <t>- La superficie de la roca debe ser esencialmente horizontal y sin problemas de estabilidad lateral</t>
  </si>
  <si>
    <t>- La carga no tiene componente tangencial, o ésta es inferior al 10% de la carga normal</t>
  </si>
  <si>
    <t>ESTADO DE LAS JUNTAS</t>
  </si>
  <si>
    <t>Rellenas con suelo o con fragmentos de roca alterada</t>
  </si>
  <si>
    <t>Ancho de cimentación (B)</t>
  </si>
  <si>
    <r>
      <t>- Para roca sana o poco meteorizada (q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&gt;2,5MPa, RQD&gt;25 y GM&lt;IV)</t>
    </r>
  </si>
  <si>
    <t>- En rocas sedimentarias los estratos deben ser horizontales o subhorizontales</t>
  </si>
  <si>
    <t>- Son presiones admisibles frente al hundimiento y asientos</t>
  </si>
  <si>
    <t>CÁLCULO DE LA PRESIÓN VERTICAL ADMISIBLE</t>
  </si>
  <si>
    <r>
      <t>Rocas ígneas y metamófircas sanas</t>
    </r>
    <r>
      <rPr>
        <vertAlign val="superscript"/>
        <sz val="8"/>
        <rFont val="Arial"/>
        <family val="2"/>
      </rPr>
      <t xml:space="preserve"> (1)</t>
    </r>
    <r>
      <rPr>
        <sz val="8"/>
        <rFont val="Arial"/>
        <family val="2"/>
      </rPr>
      <t>:
Granito, diorita, basalto, gneis</t>
    </r>
  </si>
  <si>
    <r>
      <t>Rocas metamórficas foliadas sanas</t>
    </r>
    <r>
      <rPr>
        <vertAlign val="superscript"/>
        <sz val="8"/>
        <rFont val="Arial"/>
        <family val="2"/>
      </rPr>
      <t xml:space="preserve"> (1) (2)</t>
    </r>
    <r>
      <rPr>
        <sz val="8"/>
        <rFont val="Arial"/>
        <family val="2"/>
      </rPr>
      <t>:
Esquistos, pizarras</t>
    </r>
  </si>
  <si>
    <r>
      <t>Rocas sedimentarias sanas</t>
    </r>
    <r>
      <rPr>
        <vertAlign val="superscript"/>
        <sz val="8"/>
        <rFont val="Arial"/>
        <family val="2"/>
      </rPr>
      <t>(1) (2)</t>
    </r>
    <r>
      <rPr>
        <sz val="8"/>
        <rFont val="Arial"/>
        <family val="2"/>
      </rPr>
      <t>:
Pizarras cementadas, limolitas, areniscas, calizas sin karstificar, conglomerados cementados</t>
    </r>
  </si>
  <si>
    <r>
      <t>Rocas arcillosas sanas</t>
    </r>
    <r>
      <rPr>
        <vertAlign val="superscript"/>
        <sz val="8"/>
        <rFont val="Arial"/>
        <family val="2"/>
      </rPr>
      <t>(2) (4)</t>
    </r>
  </si>
  <si>
    <t>Resistencia a compresión simple roca sana</t>
  </si>
  <si>
    <t>Cumple 0,05&lt;s/B&lt;2</t>
  </si>
  <si>
    <r>
      <t>K</t>
    </r>
    <r>
      <rPr>
        <b/>
        <vertAlign val="subscript"/>
        <sz val="10"/>
        <rFont val="Arial"/>
        <family val="2"/>
      </rPr>
      <t>sp</t>
    </r>
  </si>
  <si>
    <r>
      <t>q</t>
    </r>
    <r>
      <rPr>
        <b/>
        <vertAlign val="subscript"/>
        <sz val="10"/>
        <rFont val="Arial"/>
        <family val="2"/>
      </rPr>
      <t>d</t>
    </r>
  </si>
  <si>
    <t>D=</t>
  </si>
  <si>
    <t>b=</t>
  </si>
  <si>
    <r>
      <t>g</t>
    </r>
    <r>
      <rPr>
        <sz val="10"/>
        <rFont val="Arial"/>
        <family val="2"/>
      </rPr>
      <t>'=</t>
    </r>
  </si>
  <si>
    <t>CIMENTACIONES SUPERFICIALES EN TODO TIPO DE SUELOS</t>
  </si>
  <si>
    <t>PARÁMETROS CARACTERÍSTICOS DEL TERRENO</t>
  </si>
  <si>
    <t>Peso específico por debajo de la base de cimentación</t>
  </si>
  <si>
    <r>
      <t>c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=</t>
    </r>
  </si>
  <si>
    <r>
      <t>KN/m</t>
    </r>
    <r>
      <rPr>
        <vertAlign val="superscript"/>
        <sz val="10"/>
        <rFont val="Arial"/>
        <family val="2"/>
      </rPr>
      <t>3</t>
    </r>
  </si>
  <si>
    <r>
      <t>q</t>
    </r>
    <r>
      <rPr>
        <vertAlign val="subscript"/>
        <sz val="10"/>
        <rFont val="Arial"/>
        <family val="2"/>
      </rPr>
      <t>0K</t>
    </r>
    <r>
      <rPr>
        <sz val="10"/>
        <rFont val="Arial"/>
        <family val="2"/>
      </rPr>
      <t>=</t>
    </r>
  </si>
  <si>
    <r>
      <t>f</t>
    </r>
    <r>
      <rPr>
        <vertAlign val="subscript"/>
        <sz val="10"/>
        <rFont val="Arial"/>
        <family val="2"/>
      </rPr>
      <t>K</t>
    </r>
    <r>
      <rPr>
        <sz val="10"/>
        <rFont val="Arial"/>
        <family val="2"/>
      </rPr>
      <t>=</t>
    </r>
  </si>
  <si>
    <t>EXPRESIÓN ANALÍTICA BÁSICA</t>
  </si>
  <si>
    <t>FACTORES CORRECTORES O DE INFLUENCIA</t>
  </si>
  <si>
    <t>Profundidad de la base de la cimentación</t>
  </si>
  <si>
    <t>B*=</t>
  </si>
  <si>
    <t>No se debe tener en cuenta en los siguientes casos:</t>
  </si>
  <si>
    <t>- Cimentaciones cercanas a taludes</t>
  </si>
  <si>
    <t>- Cuando no se pueda garantizar la permanencia en el tiempo del terreno situado por encima de la base de cimentación</t>
  </si>
  <si>
    <t>- Profundidades de cimentación D inferiores a 2m.</t>
  </si>
  <si>
    <t>Forma de la cimentación</t>
  </si>
  <si>
    <t>FORMA DE LA CIMENTACIÓN</t>
  </si>
  <si>
    <t>Rectangular</t>
  </si>
  <si>
    <t>Circular</t>
  </si>
  <si>
    <t>L*=</t>
  </si>
  <si>
    <t>Largo equivalente (m)</t>
  </si>
  <si>
    <t>Influencia de la resistencia al corte del terreno situado sobre la base de la cimentación</t>
  </si>
  <si>
    <t>No</t>
  </si>
  <si>
    <t>Inclinación del terreno situado junto a la cimentación</t>
  </si>
  <si>
    <t>Influencia de la proximidad de un talud a la cimentación</t>
  </si>
  <si>
    <t>Zapata cuadrada (L*=B*)</t>
  </si>
  <si>
    <t>Zapata corrida (L*&gt;&gt;B*)</t>
  </si>
  <si>
    <r>
      <t>g</t>
    </r>
    <r>
      <rPr>
        <vertAlign val="subscript"/>
        <sz val="10"/>
        <rFont val="Arial"/>
        <family val="2"/>
      </rPr>
      <t>ap</t>
    </r>
    <r>
      <rPr>
        <sz val="10"/>
        <rFont val="Arial"/>
        <family val="2"/>
      </rPr>
      <t>=</t>
    </r>
  </si>
  <si>
    <t>¿Existe flujo ascendente?</t>
  </si>
  <si>
    <t>Gradiente vertical medio en 1,5B bajo la base de la cimentación</t>
  </si>
  <si>
    <t>PRESIÓN VERTICAL ADMISIBLE POR HUNDIMIENTO</t>
  </si>
  <si>
    <t>Ancho de cimentación</t>
  </si>
  <si>
    <t>Zapata corrida</t>
  </si>
  <si>
    <t>Zapata cuadrada</t>
  </si>
  <si>
    <t>Resistencia al corte del terreno situado sobre la base de la cimentación</t>
  </si>
  <si>
    <t>¿Tener en cuenta?</t>
  </si>
  <si>
    <r>
      <t>2</t>
    </r>
    <r>
      <rPr>
        <sz val="10"/>
        <rFont val="Symbol"/>
        <family val="1"/>
        <charset val="2"/>
      </rPr>
      <t>b</t>
    </r>
    <r>
      <rPr>
        <sz val="10"/>
        <rFont val="Arial"/>
        <family val="2"/>
      </rPr>
      <t>c</t>
    </r>
    <r>
      <rPr>
        <vertAlign val="subscript"/>
        <sz val="10"/>
        <rFont val="Arial"/>
        <family val="2"/>
      </rPr>
      <t>u</t>
    </r>
    <r>
      <rPr>
        <sz val="10"/>
        <rFont val="Arial"/>
        <family val="2"/>
      </rPr>
      <t>=</t>
    </r>
  </si>
  <si>
    <r>
      <t xml:space="preserve">Si </t>
    </r>
    <r>
      <rPr>
        <sz val="8"/>
        <rFont val="Symbol"/>
        <family val="1"/>
        <charset val="2"/>
      </rPr>
      <t>b</t>
    </r>
    <r>
      <rPr>
        <sz val="8"/>
        <rFont val="Arial"/>
        <family val="2"/>
      </rPr>
      <t>&gt;</t>
    </r>
    <r>
      <rPr>
        <sz val="8"/>
        <rFont val="Symbol"/>
        <family val="1"/>
        <charset val="2"/>
      </rPr>
      <t>f</t>
    </r>
    <r>
      <rPr>
        <sz val="8"/>
        <rFont val="Arial"/>
        <family val="2"/>
      </rPr>
      <t>'/2 se recomienda llevar a cabo un estudio específico de estabilidad global</t>
    </r>
  </si>
  <si>
    <r>
      <t>En situaciones transitorias y sin drenaje, puede calcularse la presión de hundimiento como en terreno horizontal y depués reducirla en 2</t>
    </r>
    <r>
      <rPr>
        <sz val="8"/>
        <rFont val="Symbol"/>
        <family val="1"/>
        <charset val="2"/>
      </rPr>
      <t>b</t>
    </r>
    <r>
      <rPr>
        <sz val="8"/>
        <rFont val="Arial"/>
        <family val="2"/>
      </rPr>
      <t>c</t>
    </r>
    <r>
      <rPr>
        <vertAlign val="subscript"/>
        <sz val="8"/>
        <rFont val="Arial"/>
        <family val="2"/>
      </rPr>
      <t>u</t>
    </r>
  </si>
  <si>
    <t>¿Talud en situación transitoria y sin drenaje?</t>
  </si>
  <si>
    <t>B* (m)</t>
  </si>
  <si>
    <t>Influencia de la forma de la cimentación</t>
  </si>
  <si>
    <r>
      <t>d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</si>
  <si>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d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</si>
  <si>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d</t>
    </r>
    <r>
      <rPr>
        <vertAlign val="subscript"/>
        <sz val="10"/>
        <rFont val="Symbol"/>
        <family val="1"/>
        <charset val="2"/>
      </rPr>
      <t>g</t>
    </r>
    <r>
      <rPr>
        <sz val="10"/>
        <rFont val="Symbol"/>
        <family val="1"/>
        <charset val="2"/>
      </rPr>
      <t>=</t>
    </r>
  </si>
  <si>
    <r>
      <t>s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</si>
  <si>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s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</si>
  <si>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s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</si>
  <si>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</si>
  <si>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</si>
  <si>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t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</si>
  <si>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Arial"/>
        <family val="2"/>
      </rPr>
      <t>c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</si>
  <si>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Arial"/>
        <family val="2"/>
      </rPr>
      <t>q</t>
    </r>
    <r>
      <rPr>
        <sz val="10"/>
        <rFont val="Arial"/>
        <family val="2"/>
      </rPr>
      <t>=</t>
    </r>
  </si>
  <si>
    <r>
      <t>N</t>
    </r>
    <r>
      <rPr>
        <vertAlign val="subscript"/>
        <sz val="10"/>
        <rFont val="Symbol"/>
        <family val="1"/>
        <charset val="2"/>
      </rPr>
      <t>g</t>
    </r>
    <r>
      <rPr>
        <sz val="10"/>
        <rFont val="Arial"/>
        <family val="2"/>
      </rPr>
      <t>=</t>
    </r>
  </si>
  <si>
    <t>CIMENTACIONES SUPERFICIALES EN SUELOS GRANULARES</t>
  </si>
  <si>
    <t>- Terreno horizontal (pendiente inferior al 10%)</t>
  </si>
  <si>
    <t>Ancho de cimentación (m)</t>
  </si>
  <si>
    <t>- Necesaria comprobación adicional de asientos para anchuras superiores a 5m</t>
  </si>
  <si>
    <t xml:space="preserve">  situados a mayor profundidad que 2B* desde la base de la cimentación</t>
  </si>
  <si>
    <t>- Si existe flujo de agua será necesario un estudio específico</t>
  </si>
  <si>
    <t>- Comprobar que no se producen asientos excesivos debido a la presencia de cargas próximas y suelos menos firmes</t>
  </si>
  <si>
    <t>Ancho equivalente de la cimentación (m)</t>
  </si>
  <si>
    <t>Zona de influencia</t>
  </si>
  <si>
    <r>
      <t>Valor medio de N</t>
    </r>
    <r>
      <rPr>
        <b/>
        <vertAlign val="subscript"/>
        <sz val="8"/>
        <rFont val="Arial"/>
        <family val="2"/>
      </rPr>
      <t>SPT</t>
    </r>
  </si>
  <si>
    <t>- Inclinación con la vertical de la resultante de acciones inferior al 10%</t>
  </si>
  <si>
    <t>siendo:</t>
  </si>
  <si>
    <r>
      <t>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>: El asiento total admisible, en mm</t>
    </r>
  </si>
  <si>
    <t>Asiento total admisible</t>
  </si>
  <si>
    <r>
      <t>S</t>
    </r>
    <r>
      <rPr>
        <vertAlign val="subscript"/>
        <sz val="10"/>
        <rFont val="Arial"/>
        <family val="2"/>
      </rPr>
      <t>t</t>
    </r>
    <r>
      <rPr>
        <sz val="10"/>
        <rFont val="Arial"/>
        <family val="2"/>
      </rPr>
      <t xml:space="preserve"> =</t>
    </r>
  </si>
  <si>
    <t>1+D/3B*
(MAX=1,3)</t>
  </si>
  <si>
    <r>
      <t>N</t>
    </r>
    <r>
      <rPr>
        <vertAlign val="subscript"/>
        <sz val="10"/>
        <rFont val="Arial"/>
        <family val="2"/>
      </rPr>
      <t>SPT</t>
    </r>
    <r>
      <rPr>
        <sz val="10"/>
        <rFont val="Arial"/>
        <family val="2"/>
      </rPr>
      <t>: El valor medio de los resultados, obtenidos en una zona de influencia de la cimentación comprendida</t>
    </r>
  </si>
  <si>
    <t xml:space="preserve"> entre un plano situado a una distancia 0,5B* por encima de su base y otro situado a una distancia mínima</t>
  </si>
  <si>
    <t xml:space="preserve"> 2B* por debajo de la misma</t>
  </si>
  <si>
    <t>- No aplicable en arcillas normalmente consolidadas o sobreconsolidadas bajo cargas de trabajo superiores a la presión de preconsolidación</t>
  </si>
  <si>
    <t>- A efectos prácticos, se consideran arcillas sobreconsolidadas las que poseen resistencia a compresión simple superior a la carga de servicio transmitida por el edificio</t>
  </si>
  <si>
    <t>cm</t>
  </si>
  <si>
    <t>B</t>
  </si>
  <si>
    <t>L</t>
  </si>
  <si>
    <t>n</t>
  </si>
  <si>
    <t>q</t>
  </si>
  <si>
    <t>Asiento admisible</t>
  </si>
  <si>
    <t>Limitación</t>
  </si>
  <si>
    <t>A</t>
  </si>
  <si>
    <r>
      <t>m</t>
    </r>
    <r>
      <rPr>
        <vertAlign val="subscript"/>
        <sz val="10"/>
        <rFont val="Arial"/>
        <family val="2"/>
      </rPr>
      <t>sup</t>
    </r>
  </si>
  <si>
    <r>
      <t>m</t>
    </r>
    <r>
      <rPr>
        <vertAlign val="subscript"/>
        <sz val="10"/>
        <rFont val="Arial"/>
        <family val="2"/>
      </rPr>
      <t>inf</t>
    </r>
  </si>
  <si>
    <r>
      <t>t</t>
    </r>
    <r>
      <rPr>
        <vertAlign val="subscript"/>
        <sz val="10"/>
        <rFont val="Arial"/>
        <family val="2"/>
      </rPr>
      <t>inf</t>
    </r>
  </si>
  <si>
    <r>
      <t>t</t>
    </r>
    <r>
      <rPr>
        <vertAlign val="subscript"/>
        <sz val="10"/>
        <rFont val="Arial"/>
        <family val="2"/>
      </rPr>
      <t>sup</t>
    </r>
  </si>
  <si>
    <r>
      <t>f</t>
    </r>
    <r>
      <rPr>
        <vertAlign val="subscript"/>
        <sz val="10"/>
        <rFont val="Arial"/>
        <family val="2"/>
      </rPr>
      <t>1sup</t>
    </r>
  </si>
  <si>
    <r>
      <t>f</t>
    </r>
    <r>
      <rPr>
        <vertAlign val="subscript"/>
        <sz val="10"/>
        <rFont val="Arial"/>
        <family val="2"/>
      </rPr>
      <t>1inf</t>
    </r>
  </si>
  <si>
    <r>
      <t>f</t>
    </r>
    <r>
      <rPr>
        <vertAlign val="subscript"/>
        <sz val="10"/>
        <rFont val="Arial"/>
        <family val="2"/>
      </rPr>
      <t>2sup</t>
    </r>
  </si>
  <si>
    <r>
      <t>f</t>
    </r>
    <r>
      <rPr>
        <vertAlign val="subscript"/>
        <sz val="10"/>
        <rFont val="Arial"/>
        <family val="2"/>
      </rPr>
      <t>2inf</t>
    </r>
  </si>
  <si>
    <r>
      <t>s</t>
    </r>
    <r>
      <rPr>
        <vertAlign val="subscript"/>
        <sz val="12"/>
        <rFont val="Arial"/>
        <family val="2"/>
      </rPr>
      <t>sup</t>
    </r>
  </si>
  <si>
    <r>
      <t>s</t>
    </r>
    <r>
      <rPr>
        <vertAlign val="subscript"/>
        <sz val="12"/>
        <rFont val="Arial"/>
        <family val="2"/>
      </rPr>
      <t>inf</t>
    </r>
  </si>
  <si>
    <r>
      <t>i=S</t>
    </r>
    <r>
      <rPr>
        <vertAlign val="subscript"/>
        <sz val="10"/>
        <rFont val="Arial"/>
        <family val="2"/>
      </rPr>
      <t>sup</t>
    </r>
    <r>
      <rPr>
        <sz val="10"/>
        <rFont val="Arial"/>
        <family val="2"/>
      </rPr>
      <t>-S</t>
    </r>
    <r>
      <rPr>
        <vertAlign val="subscript"/>
        <sz val="10"/>
        <rFont val="Arial"/>
        <family val="2"/>
      </rPr>
      <t>inf</t>
    </r>
  </si>
  <si>
    <t>Stotal</t>
  </si>
  <si>
    <t>Asiento en profundidad</t>
  </si>
  <si>
    <t>Acortamiento del estrato</t>
  </si>
  <si>
    <t>Lcorr</t>
  </si>
  <si>
    <t>SITUACIÓN DE DIMENSIONADO</t>
  </si>
  <si>
    <t>Ancho equivalente B* (m)</t>
  </si>
  <si>
    <r>
      <t>i</t>
    </r>
    <r>
      <rPr>
        <vertAlign val="subscript"/>
        <sz val="10"/>
        <rFont val="Arial"/>
        <family val="2"/>
      </rPr>
      <t>v</t>
    </r>
    <r>
      <rPr>
        <sz val="10"/>
        <rFont val="Arial"/>
        <family val="2"/>
      </rPr>
      <t>=</t>
    </r>
  </si>
  <si>
    <t>Resistencia al corte</t>
  </si>
  <si>
    <t>kPa</t>
  </si>
  <si>
    <t>B*</t>
  </si>
  <si>
    <t>z</t>
  </si>
  <si>
    <r>
      <t>En situaciones sin drenaje, ¿c</t>
    </r>
    <r>
      <rPr>
        <b/>
        <vertAlign val="subscript"/>
        <sz val="10"/>
        <rFont val="Arial"/>
        <family val="2"/>
      </rPr>
      <t>u</t>
    </r>
    <r>
      <rPr>
        <b/>
        <sz val="10"/>
        <rFont val="Arial"/>
        <family val="2"/>
      </rPr>
      <t xml:space="preserve"> aumenta linealmente con la proundidad?</t>
    </r>
  </si>
  <si>
    <r>
      <t>c</t>
    </r>
    <r>
      <rPr>
        <b/>
        <vertAlign val="subscript"/>
        <sz val="10"/>
        <rFont val="Arial"/>
        <family val="2"/>
      </rPr>
      <t>u</t>
    </r>
  </si>
  <si>
    <r>
      <t>c</t>
    </r>
    <r>
      <rPr>
        <b/>
        <vertAlign val="subscript"/>
        <sz val="10"/>
        <rFont val="Arial"/>
        <family val="2"/>
      </rPr>
      <t>k</t>
    </r>
  </si>
  <si>
    <t>Situación de dimensionado</t>
  </si>
  <si>
    <r>
      <t>g</t>
    </r>
    <r>
      <rPr>
        <vertAlign val="subscript"/>
        <sz val="10"/>
        <rFont val="Arial"/>
        <family val="2"/>
      </rPr>
      <t>K</t>
    </r>
  </si>
  <si>
    <r>
      <t>kN/m</t>
    </r>
    <r>
      <rPr>
        <vertAlign val="superscript"/>
        <sz val="10"/>
        <rFont val="Arial"/>
        <family val="2"/>
      </rPr>
      <t>3</t>
    </r>
  </si>
  <si>
    <r>
      <t>c</t>
    </r>
    <r>
      <rPr>
        <vertAlign val="subscript"/>
        <sz val="8"/>
        <rFont val="Arial"/>
        <family val="2"/>
      </rPr>
      <t>K</t>
    </r>
    <r>
      <rPr>
        <sz val="8"/>
        <rFont val="Arial"/>
        <family val="2"/>
      </rPr>
      <t xml:space="preserve"> y </t>
    </r>
    <r>
      <rPr>
        <sz val="8"/>
        <rFont val="Symbol"/>
        <family val="1"/>
        <charset val="2"/>
      </rPr>
      <t>f</t>
    </r>
    <r>
      <rPr>
        <vertAlign val="subscript"/>
        <sz val="8"/>
        <rFont val="Arial"/>
        <family val="2"/>
      </rPr>
      <t>K</t>
    </r>
    <r>
      <rPr>
        <sz val="8"/>
        <rFont val="Arial"/>
        <family val="2"/>
      </rPr>
      <t xml:space="preserve"> representativos de una profundidad entre B y 1.5·B, a contar desde la base de la cimentación</t>
    </r>
  </si>
  <si>
    <t>En cálculo a corto plazo considerar peso específico aparente</t>
  </si>
  <si>
    <t>Sobrecarga al nivel de la base de la cimentación</t>
  </si>
  <si>
    <r>
      <t>g</t>
    </r>
    <r>
      <rPr>
        <vertAlign val="subscript"/>
        <sz val="10"/>
        <rFont val="Arial"/>
        <family val="2"/>
      </rPr>
      <t xml:space="preserve">ap </t>
    </r>
    <r>
      <rPr>
        <sz val="10"/>
        <rFont val="Arial"/>
        <family val="2"/>
      </rPr>
      <t>(sup)=</t>
    </r>
  </si>
  <si>
    <t>H=</t>
  </si>
  <si>
    <r>
      <t>Para contar con el término de sobrecarga q</t>
    </r>
    <r>
      <rPr>
        <vertAlign val="subscript"/>
        <sz val="8"/>
        <rFont val="Arial"/>
        <family val="2"/>
      </rPr>
      <t>0K</t>
    </r>
    <r>
      <rPr>
        <sz val="8"/>
        <rFont val="Arial"/>
        <family val="2"/>
      </rPr>
      <t xml:space="preserve"> se debe asegurar durante la vida útil de la obra que no se realizan excavaciones junto a las cimentaciones que pudieran dar lugar a una reducción, o incluso anulación, de la misma.</t>
    </r>
  </si>
  <si>
    <t>Factor de seguridad</t>
  </si>
  <si>
    <r>
      <t>g</t>
    </r>
    <r>
      <rPr>
        <vertAlign val="subscript"/>
        <sz val="10"/>
        <rFont val="Arial"/>
        <family val="2"/>
      </rPr>
      <t>R</t>
    </r>
    <r>
      <rPr>
        <sz val="10"/>
        <rFont val="Arial"/>
        <family val="2"/>
      </rPr>
      <t>=</t>
    </r>
  </si>
  <si>
    <t>Influencia de la inclinación de la resultante de acciones sobre la cimentación
(A considerar en fase de proyecto)</t>
  </si>
  <si>
    <t>Factores de capacidad
de carga</t>
  </si>
  <si>
    <t>- Cimentaciones someras en arcillas muy plásticas que en épocas secas puedan desarrollar grietas por retracción.</t>
  </si>
  <si>
    <t>E
MPa</t>
  </si>
  <si>
    <t>UNIDAD GEOTÉCNICA</t>
  </si>
  <si>
    <t>PRESIÓN VERTICAL ADMISIBLE DE SERVICIO</t>
  </si>
  <si>
    <t>PRESION VERTICAL ADMISIBLE POR ASIENTOS</t>
  </si>
  <si>
    <t>Peticionario</t>
  </si>
  <si>
    <t>Trabajo</t>
  </si>
  <si>
    <t>CÁLCULO DE LA PRESIÓN VERTICAL DE HUNDIMIENTO</t>
  </si>
  <si>
    <t>CÁLCULO ELÁSTICO DE ASIENTOS - MÉTODO DE STEINBRENNER</t>
  </si>
  <si>
    <t>CÁLCULO DE LA PRESIÓN VERTICAL ADMISIBLE DE SERVICIO</t>
  </si>
  <si>
    <t>CÁLCULO DE LA PRESIÓN VERTICAL ADMISIBLE - MÉTODO EMPÍRICO SIMPLIFICADO</t>
  </si>
  <si>
    <t>APLICABILIDAD</t>
  </si>
  <si>
    <t>FORMULACIÓN BÁSICA</t>
  </si>
  <si>
    <t>PARÁMETROS CARACTERÍSTICOS DEL TERRENO Y ZONA DE INFLUENCIA</t>
  </si>
  <si>
    <t>Zona de influencia dentro de cada nivel (m)</t>
  </si>
  <si>
    <r>
      <rPr>
        <b/>
        <sz val="10"/>
        <rFont val="Arial"/>
        <family val="2"/>
      </rPr>
      <t>Zona de influencia de la cimentación</t>
    </r>
    <r>
      <rPr>
        <sz val="10"/>
        <rFont val="Arial"/>
        <family val="2"/>
      </rPr>
      <t>:
comprendida entre un plano situado a una distancia 0.5B* por encima de su base y otro situado a una distancia mínima 2B* por debajo de la  misma</t>
    </r>
  </si>
  <si>
    <t>- Válido para asientos admisibles mínimos de 25mm.</t>
  </si>
  <si>
    <r>
      <t>K</t>
    </r>
    <r>
      <rPr>
        <b/>
        <vertAlign val="subscript"/>
        <sz val="8"/>
        <rFont val="Arial"/>
        <family val="2"/>
      </rPr>
      <t>sB</t>
    </r>
  </si>
  <si>
    <r>
      <t>K</t>
    </r>
    <r>
      <rPr>
        <b/>
        <vertAlign val="subscript"/>
        <sz val="8"/>
        <rFont val="Arial"/>
        <family val="2"/>
      </rPr>
      <t>sBL</t>
    </r>
  </si>
  <si>
    <r>
      <t>MN/m</t>
    </r>
    <r>
      <rPr>
        <b/>
        <i/>
        <vertAlign val="superscript"/>
        <sz val="8"/>
        <rFont val="Arial"/>
        <family val="2"/>
      </rPr>
      <t>3</t>
    </r>
  </si>
  <si>
    <r>
      <t>VALORES DE K</t>
    </r>
    <r>
      <rPr>
        <b/>
        <vertAlign val="subscript"/>
        <sz val="10"/>
        <rFont val="Arial"/>
        <family val="2"/>
      </rPr>
      <t>sp30</t>
    </r>
    <r>
      <rPr>
        <b/>
        <sz val="10"/>
        <rFont val="Arial"/>
        <family val="2"/>
      </rPr>
      <t xml:space="preserve"> DEDUCIDOS DEL CÁLCULO DE ASIENTOS</t>
    </r>
  </si>
  <si>
    <r>
      <t>K</t>
    </r>
    <r>
      <rPr>
        <b/>
        <vertAlign val="subscript"/>
        <sz val="8"/>
        <rFont val="Arial"/>
        <family val="2"/>
      </rPr>
      <t>sp30</t>
    </r>
  </si>
  <si>
    <t>Valor medio</t>
  </si>
  <si>
    <r>
      <t>q'</t>
    </r>
    <r>
      <rPr>
        <b/>
        <vertAlign val="subscript"/>
        <sz val="10"/>
        <rFont val="Arial"/>
        <family val="2"/>
      </rPr>
      <t>s</t>
    </r>
  </si>
  <si>
    <t>Hsup-Hinf</t>
  </si>
  <si>
    <t>Total</t>
  </si>
  <si>
    <r>
      <t>¿Espesor&gt;=Z</t>
    </r>
    <r>
      <rPr>
        <i/>
        <vertAlign val="subscript"/>
        <sz val="10"/>
        <rFont val="Arial"/>
        <family val="2"/>
      </rPr>
      <t>I</t>
    </r>
    <r>
      <rPr>
        <i/>
        <sz val="10"/>
        <rFont val="Arial"/>
        <family val="2"/>
      </rPr>
      <t>?</t>
    </r>
  </si>
  <si>
    <t>¿Espesor&gt;=2·B?</t>
  </si>
  <si>
    <t>UG-01</t>
  </si>
  <si>
    <t>AENA</t>
  </si>
  <si>
    <t>Edificio de Aparcamientos - Aeropuerto de Jerez</t>
  </si>
  <si>
    <t>DIA387/07</t>
  </si>
  <si>
    <t>CONSEJERÍA DE EDUCACIÓN - JUNTA DE EXTREMADURA</t>
  </si>
  <si>
    <t>GIMNASIO EN COLEGIO PÚBLICO PRINCIPE DE ASTURIAS - MONTIJO</t>
  </si>
  <si>
    <t>6/C555/005</t>
  </si>
  <si>
    <t>Situación transitoria</t>
  </si>
  <si>
    <t>Persistente a largo plazo</t>
  </si>
  <si>
    <t>Si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</si>
</sst>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0.0"/>
    <numFmt numFmtId="165" formatCode="0.000"/>
  </numFmts>
  <fonts count="38" x14ac:knownFonts="1">
    <font>
      <sz val="10"/>
      <name val="Arial"/>
    </font>
    <font>
      <sz val="10"/>
      <name val="Arial"/>
      <family val="2"/>
    </font>
    <font>
      <sz val="8"/>
      <name val="Arial"/>
      <family val="2"/>
    </font>
    <font>
      <sz val="8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10"/>
      <name val="Symbol"/>
      <family val="1"/>
      <charset val="2"/>
    </font>
    <font>
      <i/>
      <sz val="10"/>
      <name val="Arial"/>
      <family val="2"/>
    </font>
    <font>
      <sz val="10"/>
      <color indexed="12"/>
      <name val="Arial"/>
      <family val="2"/>
    </font>
    <font>
      <sz val="9"/>
      <name val="Arial"/>
      <family val="2"/>
    </font>
    <font>
      <vertAlign val="superscript"/>
      <sz val="10"/>
      <name val="Arial"/>
      <family val="2"/>
    </font>
    <font>
      <vertAlign val="subscript"/>
      <sz val="10"/>
      <name val="Arial"/>
      <family val="2"/>
    </font>
    <font>
      <b/>
      <vertAlign val="subscript"/>
      <sz val="10"/>
      <name val="Arial"/>
      <family val="2"/>
    </font>
    <font>
      <b/>
      <sz val="10"/>
      <name val="Arial"/>
      <family val="2"/>
    </font>
    <font>
      <i/>
      <sz val="8"/>
      <name val="Arial"/>
      <family val="2"/>
    </font>
    <font>
      <b/>
      <sz val="12"/>
      <name val="Arial"/>
      <family val="2"/>
    </font>
    <font>
      <vertAlign val="superscript"/>
      <sz val="8"/>
      <name val="Arial"/>
      <family val="2"/>
    </font>
    <font>
      <i/>
      <sz val="8"/>
      <name val="Arial"/>
      <family val="2"/>
    </font>
    <font>
      <sz val="10"/>
      <name val="Arial"/>
      <family val="2"/>
    </font>
    <font>
      <b/>
      <i/>
      <sz val="8"/>
      <name val="Arial"/>
      <family val="2"/>
    </font>
    <font>
      <sz val="7"/>
      <name val="Arial"/>
      <family val="2"/>
    </font>
    <font>
      <b/>
      <sz val="8"/>
      <name val="Arial"/>
      <family val="2"/>
    </font>
    <font>
      <sz val="10"/>
      <name val="Arial"/>
      <family val="2"/>
    </font>
    <font>
      <b/>
      <sz val="9"/>
      <name val="Arial"/>
      <family val="2"/>
    </font>
    <font>
      <vertAlign val="subscript"/>
      <sz val="8"/>
      <name val="Arial"/>
      <family val="2"/>
    </font>
    <font>
      <sz val="8"/>
      <name val="Symbol"/>
      <family val="1"/>
      <charset val="2"/>
    </font>
    <font>
      <vertAlign val="subscript"/>
      <sz val="10"/>
      <name val="Symbol"/>
      <family val="1"/>
      <charset val="2"/>
    </font>
    <font>
      <b/>
      <vertAlign val="subscript"/>
      <sz val="8"/>
      <name val="Arial"/>
      <family val="2"/>
    </font>
    <font>
      <sz val="12"/>
      <name val="Arial"/>
      <family val="2"/>
    </font>
    <font>
      <b/>
      <sz val="10"/>
      <name val="Symbol"/>
      <family val="1"/>
      <charset val="2"/>
    </font>
    <font>
      <vertAlign val="subscript"/>
      <sz val="12"/>
      <name val="Arial"/>
      <family val="2"/>
    </font>
    <font>
      <sz val="10"/>
      <color indexed="48"/>
      <name val="Arial"/>
      <family val="2"/>
    </font>
    <font>
      <b/>
      <i/>
      <sz val="10"/>
      <name val="Arial"/>
      <family val="2"/>
    </font>
    <font>
      <sz val="10"/>
      <color indexed="56"/>
      <name val="Arial"/>
      <family val="2"/>
    </font>
    <font>
      <b/>
      <i/>
      <vertAlign val="superscript"/>
      <sz val="8"/>
      <name val="Arial"/>
      <family val="2"/>
    </font>
    <font>
      <i/>
      <vertAlign val="subscript"/>
      <sz val="10"/>
      <name val="Arial"/>
      <family val="2"/>
    </font>
    <font>
      <sz val="10"/>
      <color indexed="12"/>
      <name val="Arial"/>
      <family val="2"/>
    </font>
  </fonts>
  <fills count="7">
    <fill>
      <patternFill patternType="none"/>
    </fill>
    <fill>
      <patternFill patternType="gray125"/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</fills>
  <borders count="7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412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0" xfId="0" applyAlignment="1">
      <alignment horizontal="centerContinuous"/>
    </xf>
    <xf numFmtId="0" fontId="0" fillId="0" borderId="7" xfId="0" applyBorder="1"/>
    <xf numFmtId="0" fontId="0" fillId="0" borderId="8" xfId="0" applyBorder="1"/>
    <xf numFmtId="0" fontId="6" fillId="0" borderId="0" xfId="0" applyFont="1"/>
    <xf numFmtId="0" fontId="6" fillId="0" borderId="2" xfId="0" applyFont="1" applyBorder="1" applyAlignment="1">
      <alignment horizontal="centerContinuous"/>
    </xf>
    <xf numFmtId="0" fontId="0" fillId="0" borderId="2" xfId="0" applyBorder="1" applyAlignment="1">
      <alignment horizontal="centerContinuous"/>
    </xf>
    <xf numFmtId="0" fontId="0" fillId="0" borderId="3" xfId="0" applyBorder="1" applyAlignment="1">
      <alignment horizontal="centerContinuous"/>
    </xf>
    <xf numFmtId="0" fontId="6" fillId="0" borderId="1" xfId="0" applyFont="1" applyBorder="1" applyAlignment="1">
      <alignment horizontal="centerContinuous"/>
    </xf>
    <xf numFmtId="0" fontId="6" fillId="2" borderId="9" xfId="0" applyFont="1" applyFill="1" applyBorder="1" applyAlignment="1">
      <alignment horizontal="centerContinuous"/>
    </xf>
    <xf numFmtId="0" fontId="6" fillId="2" borderId="10" xfId="0" applyFont="1" applyFill="1" applyBorder="1" applyAlignment="1">
      <alignment horizontal="centerContinuous"/>
    </xf>
    <xf numFmtId="0" fontId="6" fillId="2" borderId="11" xfId="0" applyFont="1" applyFill="1" applyBorder="1" applyAlignment="1">
      <alignment horizontal="centerContinuous"/>
    </xf>
    <xf numFmtId="0" fontId="0" fillId="0" borderId="7" xfId="0" applyBorder="1" applyAlignment="1">
      <alignment horizontal="centerContinuous"/>
    </xf>
    <xf numFmtId="0" fontId="0" fillId="0" borderId="12" xfId="0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0" xfId="0" applyNumberFormat="1"/>
    <xf numFmtId="0" fontId="16" fillId="0" borderId="4" xfId="0" applyFont="1" applyBorder="1" applyAlignment="1">
      <alignment horizontal="centerContinuous"/>
    </xf>
    <xf numFmtId="164" fontId="0" fillId="0" borderId="13" xfId="0" applyNumberFormat="1" applyBorder="1" applyAlignment="1">
      <alignment horizontal="center" wrapText="1"/>
    </xf>
    <xf numFmtId="164" fontId="0" fillId="0" borderId="14" xfId="0" applyNumberFormat="1" applyBorder="1" applyAlignment="1">
      <alignment horizontal="center" wrapText="1"/>
    </xf>
    <xf numFmtId="0" fontId="0" fillId="3" borderId="15" xfId="0" applyFill="1" applyBorder="1" applyAlignment="1">
      <alignment horizontal="centerContinuous"/>
    </xf>
    <xf numFmtId="0" fontId="0" fillId="3" borderId="16" xfId="0" applyFill="1" applyBorder="1" applyAlignment="1">
      <alignment horizontal="centerContinuous"/>
    </xf>
    <xf numFmtId="0" fontId="6" fillId="3" borderId="17" xfId="0" applyFont="1" applyFill="1" applyBorder="1" applyAlignment="1">
      <alignment horizontal="centerContinuous"/>
    </xf>
    <xf numFmtId="0" fontId="0" fillId="0" borderId="0" xfId="0" quotePrefix="1"/>
    <xf numFmtId="0" fontId="0" fillId="0" borderId="18" xfId="0" applyBorder="1"/>
    <xf numFmtId="0" fontId="0" fillId="0" borderId="19" xfId="0" applyBorder="1"/>
    <xf numFmtId="0" fontId="6" fillId="3" borderId="9" xfId="0" applyFont="1" applyFill="1" applyBorder="1" applyAlignment="1">
      <alignment horizontal="centerContinuous"/>
    </xf>
    <xf numFmtId="0" fontId="0" fillId="0" borderId="10" xfId="0" applyBorder="1"/>
    <xf numFmtId="0" fontId="0" fillId="3" borderId="11" xfId="0" applyFill="1" applyBorder="1" applyAlignment="1">
      <alignment horizontal="centerContinuous"/>
    </xf>
    <xf numFmtId="0" fontId="0" fillId="3" borderId="10" xfId="0" applyFill="1" applyBorder="1" applyAlignment="1">
      <alignment horizontal="centerContinuous"/>
    </xf>
    <xf numFmtId="164" fontId="0" fillId="0" borderId="0" xfId="0" applyNumberFormat="1" applyAlignment="1">
      <alignment wrapText="1"/>
    </xf>
    <xf numFmtId="164" fontId="0" fillId="0" borderId="0" xfId="0" applyNumberFormat="1" applyAlignment="1">
      <alignment horizontal="center" wrapText="1"/>
    </xf>
    <xf numFmtId="0" fontId="6" fillId="2" borderId="0" xfId="0" applyFont="1" applyFill="1"/>
    <xf numFmtId="0" fontId="0" fillId="2" borderId="0" xfId="0" applyFill="1"/>
    <xf numFmtId="0" fontId="18" fillId="4" borderId="20" xfId="0" applyFont="1" applyFill="1" applyBorder="1" applyAlignment="1">
      <alignment horizontal="center" vertical="center" wrapText="1"/>
    </xf>
    <xf numFmtId="0" fontId="18" fillId="4" borderId="21" xfId="0" applyFont="1" applyFill="1" applyBorder="1" applyAlignment="1">
      <alignment horizontal="center" vertical="center" wrapText="1"/>
    </xf>
    <xf numFmtId="0" fontId="19" fillId="0" borderId="18" xfId="0" applyFont="1" applyBorder="1"/>
    <xf numFmtId="0" fontId="19" fillId="0" borderId="22" xfId="0" applyFont="1" applyBorder="1"/>
    <xf numFmtId="164" fontId="19" fillId="0" borderId="23" xfId="0" applyNumberFormat="1" applyFont="1" applyBorder="1" applyAlignment="1">
      <alignment horizontal="center" vertical="center" wrapText="1"/>
    </xf>
    <xf numFmtId="164" fontId="19" fillId="0" borderId="13" xfId="0" applyNumberFormat="1" applyFont="1" applyBorder="1" applyAlignment="1">
      <alignment horizontal="center" vertical="center" wrapText="1"/>
    </xf>
    <xf numFmtId="0" fontId="19" fillId="0" borderId="19" xfId="0" applyFont="1" applyBorder="1"/>
    <xf numFmtId="0" fontId="19" fillId="0" borderId="24" xfId="0" applyFont="1" applyBorder="1"/>
    <xf numFmtId="164" fontId="19" fillId="0" borderId="25" xfId="0" applyNumberFormat="1" applyFont="1" applyBorder="1" applyAlignment="1">
      <alignment horizontal="center" vertical="center" wrapText="1"/>
    </xf>
    <xf numFmtId="164" fontId="19" fillId="0" borderId="14" xfId="0" applyNumberFormat="1" applyFont="1" applyBorder="1" applyAlignment="1">
      <alignment horizontal="center" vertical="center" wrapText="1"/>
    </xf>
    <xf numFmtId="0" fontId="2" fillId="0" borderId="0" xfId="0" applyFont="1"/>
    <xf numFmtId="0" fontId="0" fillId="0" borderId="26" xfId="0" applyBorder="1"/>
    <xf numFmtId="0" fontId="0" fillId="0" borderId="27" xfId="0" applyBorder="1"/>
    <xf numFmtId="0" fontId="0" fillId="4" borderId="28" xfId="0" applyFill="1" applyBorder="1" applyAlignment="1">
      <alignment horizontal="center" vertical="center" wrapText="1"/>
    </xf>
    <xf numFmtId="0" fontId="15" fillId="4" borderId="21" xfId="0" applyFont="1" applyFill="1" applyBorder="1" applyAlignment="1">
      <alignment horizontal="center" wrapText="1"/>
    </xf>
    <xf numFmtId="0" fontId="17" fillId="0" borderId="0" xfId="0" applyFont="1" applyAlignment="1">
      <alignment wrapText="1"/>
    </xf>
    <xf numFmtId="164" fontId="0" fillId="0" borderId="23" xfId="0" applyNumberFormat="1" applyBorder="1" applyAlignment="1">
      <alignment horizontal="centerContinuous" vertical="center" wrapText="1"/>
    </xf>
    <xf numFmtId="0" fontId="0" fillId="0" borderId="29" xfId="0" applyBorder="1" applyAlignment="1">
      <alignment horizontal="centerContinuous"/>
    </xf>
    <xf numFmtId="0" fontId="0" fillId="4" borderId="30" xfId="0" applyFill="1" applyBorder="1" applyAlignment="1">
      <alignment horizontal="centerContinuous" vertical="center" wrapText="1"/>
    </xf>
    <xf numFmtId="0" fontId="0" fillId="4" borderId="3" xfId="0" applyFill="1" applyBorder="1" applyAlignment="1">
      <alignment horizontal="centerContinuous"/>
    </xf>
    <xf numFmtId="0" fontId="0" fillId="4" borderId="31" xfId="0" applyFill="1" applyBorder="1" applyAlignment="1">
      <alignment horizontal="centerContinuous"/>
    </xf>
    <xf numFmtId="164" fontId="0" fillId="0" borderId="25" xfId="0" applyNumberFormat="1" applyBorder="1" applyAlignment="1">
      <alignment horizontal="centerContinuous" vertical="center" wrapText="1"/>
    </xf>
    <xf numFmtId="0" fontId="0" fillId="0" borderId="32" xfId="0" applyBorder="1" applyAlignment="1">
      <alignment horizontal="centerContinuous"/>
    </xf>
    <xf numFmtId="0" fontId="6" fillId="4" borderId="33" xfId="0" applyFont="1" applyFill="1" applyBorder="1" applyAlignment="1">
      <alignment horizontal="centerContinuous"/>
    </xf>
    <xf numFmtId="0" fontId="6" fillId="4" borderId="34" xfId="0" applyFont="1" applyFill="1" applyBorder="1" applyAlignment="1">
      <alignment horizontal="centerContinuous"/>
    </xf>
    <xf numFmtId="0" fontId="6" fillId="4" borderId="35" xfId="0" applyFont="1" applyFill="1" applyBorder="1" applyAlignment="1">
      <alignment horizontal="centerContinuous"/>
    </xf>
    <xf numFmtId="0" fontId="4" fillId="3" borderId="18" xfId="0" applyFont="1" applyFill="1" applyBorder="1"/>
    <xf numFmtId="0" fontId="4" fillId="3" borderId="26" xfId="0" applyFont="1" applyFill="1" applyBorder="1"/>
    <xf numFmtId="0" fontId="4" fillId="3" borderId="29" xfId="0" applyFont="1" applyFill="1" applyBorder="1"/>
    <xf numFmtId="0" fontId="2" fillId="0" borderId="19" xfId="0" applyFont="1" applyBorder="1"/>
    <xf numFmtId="164" fontId="0" fillId="0" borderId="36" xfId="0" applyNumberFormat="1" applyBorder="1" applyAlignment="1">
      <alignment horizontal="center"/>
    </xf>
    <xf numFmtId="165" fontId="0" fillId="0" borderId="12" xfId="0" applyNumberFormat="1" applyBorder="1" applyAlignment="1">
      <alignment horizontal="center"/>
    </xf>
    <xf numFmtId="2" fontId="0" fillId="0" borderId="13" xfId="0" applyNumberFormat="1" applyBorder="1" applyAlignment="1">
      <alignment horizontal="center"/>
    </xf>
    <xf numFmtId="164" fontId="0" fillId="0" borderId="37" xfId="0" applyNumberFormat="1" applyBorder="1" applyAlignment="1">
      <alignment horizontal="center"/>
    </xf>
    <xf numFmtId="0" fontId="0" fillId="0" borderId="38" xfId="0" applyBorder="1" applyAlignment="1">
      <alignment horizontal="center"/>
    </xf>
    <xf numFmtId="165" fontId="0" fillId="0" borderId="38" xfId="0" applyNumberFormat="1" applyBorder="1" applyAlignment="1">
      <alignment horizontal="center"/>
    </xf>
    <xf numFmtId="2" fontId="0" fillId="0" borderId="14" xfId="0" applyNumberFormat="1" applyBorder="1" applyAlignment="1">
      <alignment horizontal="center"/>
    </xf>
    <xf numFmtId="0" fontId="6" fillId="4" borderId="39" xfId="0" applyFont="1" applyFill="1" applyBorder="1" applyAlignment="1">
      <alignment horizontal="centerContinuous"/>
    </xf>
    <xf numFmtId="0" fontId="15" fillId="4" borderId="20" xfId="0" applyFont="1" applyFill="1" applyBorder="1" applyAlignment="1">
      <alignment horizontal="centerContinuous" vertical="center" wrapText="1"/>
    </xf>
    <xf numFmtId="0" fontId="2" fillId="0" borderId="18" xfId="0" applyFont="1" applyBorder="1"/>
    <xf numFmtId="0" fontId="6" fillId="4" borderId="40" xfId="0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36" xfId="0" applyBorder="1" applyAlignment="1">
      <alignment horizontal="center"/>
    </xf>
    <xf numFmtId="0" fontId="1" fillId="0" borderId="29" xfId="0" applyFont="1" applyBorder="1"/>
    <xf numFmtId="0" fontId="23" fillId="0" borderId="29" xfId="0" applyFont="1" applyBorder="1"/>
    <xf numFmtId="0" fontId="24" fillId="4" borderId="1" xfId="0" applyFont="1" applyFill="1" applyBorder="1" applyAlignment="1">
      <alignment horizontal="centerContinuous"/>
    </xf>
    <xf numFmtId="164" fontId="0" fillId="0" borderId="41" xfId="0" applyNumberFormat="1" applyBorder="1" applyAlignment="1">
      <alignment horizontal="center"/>
    </xf>
    <xf numFmtId="0" fontId="0" fillId="0" borderId="42" xfId="0" applyBorder="1" applyAlignment="1">
      <alignment horizontal="center"/>
    </xf>
    <xf numFmtId="165" fontId="0" fillId="0" borderId="42" xfId="0" applyNumberFormat="1" applyBorder="1" applyAlignment="1">
      <alignment horizontal="center"/>
    </xf>
    <xf numFmtId="0" fontId="15" fillId="4" borderId="43" xfId="0" applyFont="1" applyFill="1" applyBorder="1" applyAlignment="1">
      <alignment horizontal="center"/>
    </xf>
    <xf numFmtId="0" fontId="21" fillId="4" borderId="44" xfId="0" applyFont="1" applyFill="1" applyBorder="1"/>
    <xf numFmtId="0" fontId="6" fillId="4" borderId="28" xfId="0" applyFont="1" applyFill="1" applyBorder="1" applyAlignment="1">
      <alignment horizontal="center"/>
    </xf>
    <xf numFmtId="0" fontId="20" fillId="4" borderId="21" xfId="0" applyFont="1" applyFill="1" applyBorder="1" applyAlignment="1">
      <alignment horizontal="center"/>
    </xf>
    <xf numFmtId="0" fontId="4" fillId="0" borderId="0" xfId="0" applyFont="1"/>
    <xf numFmtId="164" fontId="0" fillId="0" borderId="7" xfId="0" applyNumberFormat="1" applyBorder="1" applyAlignment="1">
      <alignment wrapText="1"/>
    </xf>
    <xf numFmtId="0" fontId="22" fillId="3" borderId="26" xfId="0" applyFont="1" applyFill="1" applyBorder="1"/>
    <xf numFmtId="0" fontId="22" fillId="3" borderId="29" xfId="0" applyFont="1" applyFill="1" applyBorder="1"/>
    <xf numFmtId="0" fontId="8" fillId="0" borderId="0" xfId="0" applyFont="1"/>
    <xf numFmtId="2" fontId="0" fillId="0" borderId="0" xfId="0" applyNumberFormat="1"/>
    <xf numFmtId="2" fontId="9" fillId="0" borderId="0" xfId="0" applyNumberFormat="1" applyFont="1"/>
    <xf numFmtId="0" fontId="24" fillId="4" borderId="45" xfId="0" applyFont="1" applyFill="1" applyBorder="1" applyAlignment="1">
      <alignment horizontal="center" wrapText="1"/>
    </xf>
    <xf numFmtId="0" fontId="2" fillId="0" borderId="0" xfId="0" applyFont="1" applyAlignment="1">
      <alignment wrapText="1"/>
    </xf>
    <xf numFmtId="0" fontId="1" fillId="0" borderId="4" xfId="0" applyFont="1" applyBorder="1"/>
    <xf numFmtId="0" fontId="1" fillId="0" borderId="0" xfId="0" applyFont="1"/>
    <xf numFmtId="0" fontId="1" fillId="0" borderId="7" xfId="0" applyFont="1" applyBorder="1"/>
    <xf numFmtId="2" fontId="1" fillId="0" borderId="0" xfId="0" applyNumberFormat="1" applyFont="1"/>
    <xf numFmtId="0" fontId="1" fillId="0" borderId="26" xfId="0" applyFont="1" applyBorder="1"/>
    <xf numFmtId="0" fontId="8" fillId="0" borderId="18" xfId="0" applyFont="1" applyBorder="1"/>
    <xf numFmtId="0" fontId="6" fillId="3" borderId="1" xfId="0" applyFont="1" applyFill="1" applyBorder="1" applyAlignment="1">
      <alignment horizontal="centerContinuous"/>
    </xf>
    <xf numFmtId="0" fontId="0" fillId="3" borderId="2" xfId="0" applyFill="1" applyBorder="1" applyAlignment="1">
      <alignment horizontal="centerContinuous"/>
    </xf>
    <xf numFmtId="0" fontId="6" fillId="3" borderId="2" xfId="0" applyFont="1" applyFill="1" applyBorder="1" applyAlignment="1">
      <alignment horizontal="centerContinuous"/>
    </xf>
    <xf numFmtId="0" fontId="0" fillId="3" borderId="3" xfId="0" applyFill="1" applyBorder="1" applyAlignment="1">
      <alignment horizontal="centerContinuous"/>
    </xf>
    <xf numFmtId="0" fontId="1" fillId="0" borderId="46" xfId="0" applyFont="1" applyBorder="1"/>
    <xf numFmtId="0" fontId="1" fillId="0" borderId="47" xfId="0" applyFont="1" applyBorder="1"/>
    <xf numFmtId="0" fontId="1" fillId="0" borderId="41" xfId="0" applyFont="1" applyBorder="1"/>
    <xf numFmtId="0" fontId="1" fillId="0" borderId="5" xfId="0" applyFont="1" applyBorder="1"/>
    <xf numFmtId="0" fontId="6" fillId="3" borderId="30" xfId="0" applyFont="1" applyFill="1" applyBorder="1" applyAlignment="1">
      <alignment horizontal="centerContinuous"/>
    </xf>
    <xf numFmtId="0" fontId="6" fillId="3" borderId="48" xfId="0" applyFont="1" applyFill="1" applyBorder="1"/>
    <xf numFmtId="0" fontId="1" fillId="0" borderId="49" xfId="0" applyFont="1" applyBorder="1"/>
    <xf numFmtId="0" fontId="0" fillId="0" borderId="49" xfId="0" applyBorder="1"/>
    <xf numFmtId="0" fontId="7" fillId="0" borderId="0" xfId="0" applyFont="1"/>
    <xf numFmtId="0" fontId="10" fillId="0" borderId="0" xfId="0" applyFont="1"/>
    <xf numFmtId="0" fontId="5" fillId="0" borderId="0" xfId="0" quotePrefix="1" applyFont="1"/>
    <xf numFmtId="0" fontId="2" fillId="0" borderId="0" xfId="0" applyFont="1" applyAlignment="1">
      <alignment horizontal="left" wrapText="1"/>
    </xf>
    <xf numFmtId="0" fontId="3" fillId="0" borderId="0" xfId="0" quotePrefix="1" applyFont="1"/>
    <xf numFmtId="0" fontId="16" fillId="0" borderId="0" xfId="0" applyFont="1" applyAlignment="1">
      <alignment horizontal="centerContinuous"/>
    </xf>
    <xf numFmtId="0" fontId="1" fillId="0" borderId="2" xfId="0" applyFont="1" applyBorder="1"/>
    <xf numFmtId="2" fontId="1" fillId="0" borderId="50" xfId="0" applyNumberFormat="1" applyFont="1" applyBorder="1" applyAlignment="1">
      <alignment horizontal="center"/>
    </xf>
    <xf numFmtId="2" fontId="1" fillId="0" borderId="0" xfId="0" applyNumberFormat="1" applyFont="1" applyAlignment="1">
      <alignment horizontal="center"/>
    </xf>
    <xf numFmtId="2" fontId="1" fillId="0" borderId="6" xfId="0" applyNumberFormat="1" applyFont="1" applyBorder="1" applyAlignment="1">
      <alignment horizontal="center"/>
    </xf>
    <xf numFmtId="2" fontId="6" fillId="3" borderId="22" xfId="0" applyNumberFormat="1" applyFont="1" applyFill="1" applyBorder="1" applyAlignment="1">
      <alignment horizontal="center"/>
    </xf>
    <xf numFmtId="2" fontId="6" fillId="3" borderId="12" xfId="0" applyNumberFormat="1" applyFont="1" applyFill="1" applyBorder="1" applyAlignment="1">
      <alignment horizontal="center"/>
    </xf>
    <xf numFmtId="2" fontId="6" fillId="3" borderId="23" xfId="0" applyNumberFormat="1" applyFont="1" applyFill="1" applyBorder="1" applyAlignment="1">
      <alignment horizontal="center"/>
    </xf>
    <xf numFmtId="2" fontId="6" fillId="3" borderId="13" xfId="0" applyNumberFormat="1" applyFont="1" applyFill="1" applyBorder="1" applyAlignment="1">
      <alignment horizontal="center"/>
    </xf>
    <xf numFmtId="2" fontId="1" fillId="0" borderId="51" xfId="0" applyNumberFormat="1" applyFont="1" applyBorder="1" applyAlignment="1">
      <alignment horizontal="center"/>
    </xf>
    <xf numFmtId="2" fontId="1" fillId="0" borderId="52" xfId="0" applyNumberFormat="1" applyFont="1" applyBorder="1" applyAlignment="1">
      <alignment horizontal="center"/>
    </xf>
    <xf numFmtId="2" fontId="1" fillId="0" borderId="53" xfId="0" applyNumberFormat="1" applyFont="1" applyBorder="1" applyAlignment="1">
      <alignment horizontal="center"/>
    </xf>
    <xf numFmtId="2" fontId="1" fillId="0" borderId="54" xfId="0" applyNumberFormat="1" applyFont="1" applyBorder="1" applyAlignment="1">
      <alignment horizontal="center"/>
    </xf>
    <xf numFmtId="2" fontId="1" fillId="0" borderId="55" xfId="0" applyNumberFormat="1" applyFont="1" applyBorder="1" applyAlignment="1">
      <alignment horizontal="center"/>
    </xf>
    <xf numFmtId="2" fontId="1" fillId="0" borderId="56" xfId="0" applyNumberFormat="1" applyFont="1" applyBorder="1" applyAlignment="1">
      <alignment horizontal="center"/>
    </xf>
    <xf numFmtId="2" fontId="1" fillId="0" borderId="44" xfId="0" applyNumberFormat="1" applyFont="1" applyBorder="1" applyAlignment="1">
      <alignment horizontal="center"/>
    </xf>
    <xf numFmtId="2" fontId="1" fillId="0" borderId="42" xfId="0" applyNumberFormat="1" applyFont="1" applyBorder="1" applyAlignment="1">
      <alignment horizontal="center"/>
    </xf>
    <xf numFmtId="2" fontId="1" fillId="0" borderId="21" xfId="0" applyNumberFormat="1" applyFont="1" applyBorder="1" applyAlignment="1">
      <alignment horizontal="center"/>
    </xf>
    <xf numFmtId="0" fontId="4" fillId="4" borderId="57" xfId="0" applyFont="1" applyFill="1" applyBorder="1" applyAlignment="1">
      <alignment horizontal="centerContinuous" vertical="center"/>
    </xf>
    <xf numFmtId="165" fontId="0" fillId="0" borderId="23" xfId="0" applyNumberFormat="1" applyBorder="1" applyAlignment="1">
      <alignment horizontal="centerContinuous"/>
    </xf>
    <xf numFmtId="165" fontId="0" fillId="0" borderId="25" xfId="0" applyNumberFormat="1" applyBorder="1" applyAlignment="1">
      <alignment horizontal="centerContinuous"/>
    </xf>
    <xf numFmtId="0" fontId="0" fillId="4" borderId="35" xfId="0" applyFill="1" applyBorder="1" applyAlignment="1">
      <alignment horizontal="centerContinuous"/>
    </xf>
    <xf numFmtId="0" fontId="4" fillId="4" borderId="58" xfId="0" applyFont="1" applyFill="1" applyBorder="1" applyAlignment="1">
      <alignment horizontal="centerContinuous" vertical="center"/>
    </xf>
    <xf numFmtId="0" fontId="0" fillId="4" borderId="59" xfId="0" applyFill="1" applyBorder="1" applyAlignment="1">
      <alignment horizontal="centerContinuous"/>
    </xf>
    <xf numFmtId="165" fontId="0" fillId="0" borderId="20" xfId="0" applyNumberFormat="1" applyBorder="1" applyAlignment="1">
      <alignment horizontal="centerContinuous"/>
    </xf>
    <xf numFmtId="0" fontId="0" fillId="0" borderId="31" xfId="0" applyBorder="1" applyAlignment="1">
      <alignment horizontal="centerContinuous"/>
    </xf>
    <xf numFmtId="0" fontId="20" fillId="4" borderId="60" xfId="0" applyFont="1" applyFill="1" applyBorder="1" applyAlignment="1">
      <alignment horizontal="centerContinuous" wrapText="1"/>
    </xf>
    <xf numFmtId="0" fontId="0" fillId="4" borderId="8" xfId="0" applyFill="1" applyBorder="1" applyAlignment="1">
      <alignment horizontal="centerContinuous"/>
    </xf>
    <xf numFmtId="0" fontId="0" fillId="4" borderId="34" xfId="0" applyFill="1" applyBorder="1" applyAlignment="1">
      <alignment horizontal="centerContinuous"/>
    </xf>
    <xf numFmtId="0" fontId="0" fillId="4" borderId="50" xfId="0" applyFill="1" applyBorder="1" applyAlignment="1">
      <alignment horizontal="centerContinuous"/>
    </xf>
    <xf numFmtId="0" fontId="0" fillId="4" borderId="6" xfId="0" applyFill="1" applyBorder="1" applyAlignment="1">
      <alignment horizontal="centerContinuous"/>
    </xf>
    <xf numFmtId="0" fontId="0" fillId="0" borderId="61" xfId="0" applyBorder="1" applyAlignment="1">
      <alignment horizontal="centerContinuous"/>
    </xf>
    <xf numFmtId="0" fontId="0" fillId="0" borderId="26" xfId="0" applyBorder="1" applyAlignment="1">
      <alignment horizontal="centerContinuous"/>
    </xf>
    <xf numFmtId="0" fontId="0" fillId="0" borderId="27" xfId="0" applyBorder="1" applyAlignment="1">
      <alignment horizontal="centerContinuous"/>
    </xf>
    <xf numFmtId="0" fontId="0" fillId="2" borderId="10" xfId="0" applyFill="1" applyBorder="1" applyAlignment="1">
      <alignment horizontal="centerContinuous"/>
    </xf>
    <xf numFmtId="0" fontId="0" fillId="2" borderId="11" xfId="0" applyFill="1" applyBorder="1" applyAlignment="1">
      <alignment horizontal="centerContinuous"/>
    </xf>
    <xf numFmtId="0" fontId="4" fillId="4" borderId="0" xfId="0" applyFont="1" applyFill="1" applyAlignment="1">
      <alignment horizontal="center"/>
    </xf>
    <xf numFmtId="0" fontId="4" fillId="4" borderId="62" xfId="0" applyFont="1" applyFill="1" applyBorder="1" applyAlignment="1">
      <alignment horizontal="center" wrapText="1"/>
    </xf>
    <xf numFmtId="0" fontId="4" fillId="4" borderId="55" xfId="0" applyFont="1" applyFill="1" applyBorder="1" applyAlignment="1">
      <alignment horizontal="center"/>
    </xf>
    <xf numFmtId="0" fontId="0" fillId="0" borderId="48" xfId="0" applyBorder="1" applyAlignment="1">
      <alignment horizontal="center"/>
    </xf>
    <xf numFmtId="0" fontId="0" fillId="0" borderId="37" xfId="0" applyBorder="1" applyAlignment="1">
      <alignment horizontal="center"/>
    </xf>
    <xf numFmtId="164" fontId="6" fillId="3" borderId="50" xfId="0" applyNumberFormat="1" applyFont="1" applyFill="1" applyBorder="1" applyAlignment="1">
      <alignment horizontal="centerContinuous"/>
    </xf>
    <xf numFmtId="164" fontId="6" fillId="3" borderId="51" xfId="0" applyNumberFormat="1" applyFont="1" applyFill="1" applyBorder="1" applyAlignment="1">
      <alignment horizontal="centerContinuous"/>
    </xf>
    <xf numFmtId="0" fontId="15" fillId="0" borderId="12" xfId="0" applyFont="1" applyBorder="1"/>
    <xf numFmtId="0" fontId="4" fillId="3" borderId="23" xfId="0" applyFont="1" applyFill="1" applyBorder="1" applyAlignment="1">
      <alignment horizontal="centerContinuous"/>
    </xf>
    <xf numFmtId="0" fontId="0" fillId="3" borderId="26" xfId="0" applyFill="1" applyBorder="1" applyAlignment="1">
      <alignment horizontal="centerContinuous"/>
    </xf>
    <xf numFmtId="0" fontId="0" fillId="3" borderId="22" xfId="0" applyFill="1" applyBorder="1" applyAlignment="1">
      <alignment horizontal="centerContinuous"/>
    </xf>
    <xf numFmtId="164" fontId="2" fillId="0" borderId="12" xfId="0" applyNumberFormat="1" applyFont="1" applyBorder="1" applyAlignment="1">
      <alignment horizontal="center"/>
    </xf>
    <xf numFmtId="164" fontId="4" fillId="3" borderId="58" xfId="0" applyNumberFormat="1" applyFont="1" applyFill="1" applyBorder="1" applyAlignment="1">
      <alignment horizontal="centerContinuous"/>
    </xf>
    <xf numFmtId="164" fontId="0" fillId="0" borderId="26" xfId="0" applyNumberFormat="1" applyBorder="1" applyAlignment="1">
      <alignment horizontal="centerContinuous"/>
    </xf>
    <xf numFmtId="0" fontId="20" fillId="4" borderId="63" xfId="0" applyFont="1" applyFill="1" applyBorder="1" applyAlignment="1">
      <alignment horizontal="centerContinuous" wrapText="1"/>
    </xf>
    <xf numFmtId="164" fontId="0" fillId="0" borderId="22" xfId="0" applyNumberFormat="1" applyBorder="1" applyAlignment="1">
      <alignment horizontal="centerContinuous"/>
    </xf>
    <xf numFmtId="164" fontId="0" fillId="0" borderId="12" xfId="0" applyNumberFormat="1" applyBorder="1" applyAlignment="1">
      <alignment horizontal="centerContinuous"/>
    </xf>
    <xf numFmtId="1" fontId="0" fillId="0" borderId="23" xfId="0" applyNumberFormat="1" applyBorder="1" applyAlignment="1">
      <alignment horizontal="centerContinuous"/>
    </xf>
    <xf numFmtId="165" fontId="0" fillId="0" borderId="22" xfId="0" applyNumberFormat="1" applyBorder="1" applyAlignment="1">
      <alignment horizontal="centerContinuous"/>
    </xf>
    <xf numFmtId="1" fontId="0" fillId="0" borderId="20" xfId="0" applyNumberFormat="1" applyBorder="1" applyAlignment="1">
      <alignment horizontal="centerContinuous"/>
    </xf>
    <xf numFmtId="165" fontId="0" fillId="0" borderId="44" xfId="0" applyNumberFormat="1" applyBorder="1" applyAlignment="1">
      <alignment horizontal="centerContinuous"/>
    </xf>
    <xf numFmtId="0" fontId="20" fillId="4" borderId="20" xfId="0" applyFont="1" applyFill="1" applyBorder="1" applyAlignment="1">
      <alignment horizontal="centerContinuous" wrapText="1"/>
    </xf>
    <xf numFmtId="0" fontId="20" fillId="4" borderId="4" xfId="0" applyFont="1" applyFill="1" applyBorder="1" applyAlignment="1">
      <alignment horizontal="centerContinuous" wrapText="1"/>
    </xf>
    <xf numFmtId="164" fontId="0" fillId="0" borderId="18" xfId="0" applyNumberFormat="1" applyBorder="1" applyAlignment="1">
      <alignment horizontal="centerContinuous"/>
    </xf>
    <xf numFmtId="165" fontId="0" fillId="0" borderId="31" xfId="0" applyNumberFormat="1" applyBorder="1" applyAlignment="1">
      <alignment horizontal="centerContinuous"/>
    </xf>
    <xf numFmtId="165" fontId="0" fillId="0" borderId="29" xfId="0" applyNumberFormat="1" applyBorder="1" applyAlignment="1">
      <alignment horizontal="centerContinuous"/>
    </xf>
    <xf numFmtId="164" fontId="0" fillId="0" borderId="19" xfId="0" applyNumberFormat="1" applyBorder="1" applyAlignment="1">
      <alignment horizontal="centerContinuous"/>
    </xf>
    <xf numFmtId="164" fontId="0" fillId="0" borderId="24" xfId="0" applyNumberFormat="1" applyBorder="1" applyAlignment="1">
      <alignment horizontal="centerContinuous"/>
    </xf>
    <xf numFmtId="164" fontId="0" fillId="0" borderId="27" xfId="0" applyNumberFormat="1" applyBorder="1" applyAlignment="1">
      <alignment horizontal="centerContinuous"/>
    </xf>
    <xf numFmtId="164" fontId="0" fillId="0" borderId="38" xfId="0" applyNumberFormat="1" applyBorder="1" applyAlignment="1">
      <alignment horizontal="centerContinuous"/>
    </xf>
    <xf numFmtId="1" fontId="0" fillId="0" borderId="25" xfId="0" applyNumberFormat="1" applyBorder="1" applyAlignment="1">
      <alignment horizontal="centerContinuous"/>
    </xf>
    <xf numFmtId="165" fontId="0" fillId="0" borderId="24" xfId="0" applyNumberFormat="1" applyBorder="1" applyAlignment="1">
      <alignment horizontal="centerContinuous"/>
    </xf>
    <xf numFmtId="165" fontId="0" fillId="0" borderId="32" xfId="0" applyNumberFormat="1" applyBorder="1" applyAlignment="1">
      <alignment horizontal="centerContinuous"/>
    </xf>
    <xf numFmtId="0" fontId="20" fillId="4" borderId="20" xfId="0" applyFont="1" applyFill="1" applyBorder="1" applyAlignment="1">
      <alignment horizontal="center" wrapText="1"/>
    </xf>
    <xf numFmtId="0" fontId="20" fillId="4" borderId="31" xfId="0" applyFont="1" applyFill="1" applyBorder="1" applyAlignment="1">
      <alignment horizontal="centerContinuous" wrapText="1"/>
    </xf>
    <xf numFmtId="164" fontId="0" fillId="0" borderId="61" xfId="0" applyNumberFormat="1" applyBorder="1" applyAlignment="1">
      <alignment horizontal="centerContinuous"/>
    </xf>
    <xf numFmtId="164" fontId="0" fillId="0" borderId="42" xfId="0" applyNumberFormat="1" applyBorder="1" applyAlignment="1">
      <alignment horizontal="centerContinuous"/>
    </xf>
    <xf numFmtId="0" fontId="20" fillId="4" borderId="44" xfId="0" applyFont="1" applyFill="1" applyBorder="1" applyAlignment="1">
      <alignment horizontal="center" wrapText="1"/>
    </xf>
    <xf numFmtId="165" fontId="0" fillId="0" borderId="64" xfId="0" applyNumberFormat="1" applyBorder="1" applyAlignment="1">
      <alignment horizontal="centerContinuous"/>
    </xf>
    <xf numFmtId="164" fontId="0" fillId="0" borderId="20" xfId="0" applyNumberFormat="1" applyBorder="1" applyAlignment="1">
      <alignment horizontal="centerContinuous"/>
    </xf>
    <xf numFmtId="164" fontId="0" fillId="0" borderId="25" xfId="0" applyNumberFormat="1" applyBorder="1" applyAlignment="1">
      <alignment horizontal="centerContinuous"/>
    </xf>
    <xf numFmtId="0" fontId="6" fillId="4" borderId="30" xfId="0" applyFont="1" applyFill="1" applyBorder="1" applyAlignment="1">
      <alignment horizontal="centerContinuous" wrapText="1"/>
    </xf>
    <xf numFmtId="0" fontId="0" fillId="4" borderId="39" xfId="0" applyFill="1" applyBorder="1" applyAlignment="1">
      <alignment horizontal="centerContinuous"/>
    </xf>
    <xf numFmtId="0" fontId="6" fillId="4" borderId="63" xfId="0" applyFont="1" applyFill="1" applyBorder="1" applyAlignment="1">
      <alignment horizontal="center" wrapText="1"/>
    </xf>
    <xf numFmtId="0" fontId="0" fillId="4" borderId="54" xfId="0" applyFill="1" applyBorder="1"/>
    <xf numFmtId="1" fontId="0" fillId="0" borderId="12" xfId="0" applyNumberFormat="1" applyBorder="1" applyAlignment="1">
      <alignment horizontal="centerContinuous"/>
    </xf>
    <xf numFmtId="1" fontId="0" fillId="0" borderId="38" xfId="0" applyNumberFormat="1" applyBorder="1" applyAlignment="1">
      <alignment horizontal="centerContinuous"/>
    </xf>
    <xf numFmtId="0" fontId="24" fillId="4" borderId="47" xfId="0" applyFont="1" applyFill="1" applyBorder="1" applyAlignment="1">
      <alignment horizontal="center" wrapText="1"/>
    </xf>
    <xf numFmtId="0" fontId="0" fillId="0" borderId="0" xfId="0" applyAlignment="1">
      <alignment horizontal="right"/>
    </xf>
    <xf numFmtId="0" fontId="29" fillId="0" borderId="0" xfId="0" applyFont="1" applyAlignment="1">
      <alignment vertical="center"/>
    </xf>
    <xf numFmtId="165" fontId="0" fillId="0" borderId="0" xfId="0" applyNumberFormat="1"/>
    <xf numFmtId="0" fontId="4" fillId="4" borderId="50" xfId="0" applyFont="1" applyFill="1" applyBorder="1" applyAlignment="1">
      <alignment horizontal="centerContinuous" vertical="center"/>
    </xf>
    <xf numFmtId="0" fontId="20" fillId="4" borderId="0" xfId="0" applyFont="1" applyFill="1" applyAlignment="1">
      <alignment horizontal="centerContinuous" wrapText="1"/>
    </xf>
    <xf numFmtId="0" fontId="5" fillId="0" borderId="0" xfId="0" applyFont="1"/>
    <xf numFmtId="0" fontId="6" fillId="0" borderId="0" xfId="0" applyFont="1" applyAlignment="1">
      <alignment horizontal="left"/>
    </xf>
    <xf numFmtId="0" fontId="0" fillId="4" borderId="0" xfId="0" applyFill="1" applyAlignment="1">
      <alignment horizontal="centerContinuous"/>
    </xf>
    <xf numFmtId="164" fontId="0" fillId="0" borderId="45" xfId="0" applyNumberFormat="1" applyBorder="1" applyAlignment="1">
      <alignment horizontal="center"/>
    </xf>
    <xf numFmtId="0" fontId="0" fillId="0" borderId="0" xfId="0" quotePrefix="1" applyAlignment="1">
      <alignment horizontal="left" wrapText="1"/>
    </xf>
    <xf numFmtId="0" fontId="32" fillId="0" borderId="0" xfId="0" applyFont="1"/>
    <xf numFmtId="0" fontId="6" fillId="0" borderId="4" xfId="0" applyFont="1" applyBorder="1" applyAlignment="1">
      <alignment horizontal="centerContinuous"/>
    </xf>
    <xf numFmtId="0" fontId="6" fillId="0" borderId="0" xfId="0" applyFont="1" applyAlignment="1">
      <alignment horizontal="centerContinuous"/>
    </xf>
    <xf numFmtId="0" fontId="0" fillId="0" borderId="0" xfId="0" quotePrefix="1" applyAlignment="1">
      <alignment wrapText="1"/>
    </xf>
    <xf numFmtId="164" fontId="0" fillId="0" borderId="0" xfId="0" applyNumberFormat="1" applyAlignment="1">
      <alignment horizontal="center"/>
    </xf>
    <xf numFmtId="164" fontId="6" fillId="4" borderId="52" xfId="0" applyNumberFormat="1" applyFont="1" applyFill="1" applyBorder="1" applyAlignment="1">
      <alignment horizontal="center"/>
    </xf>
    <xf numFmtId="0" fontId="6" fillId="4" borderId="52" xfId="0" applyFont="1" applyFill="1" applyBorder="1" applyAlignment="1">
      <alignment horizontal="center"/>
    </xf>
    <xf numFmtId="0" fontId="33" fillId="4" borderId="42" xfId="0" applyFont="1" applyFill="1" applyBorder="1" applyAlignment="1">
      <alignment horizontal="center"/>
    </xf>
    <xf numFmtId="0" fontId="30" fillId="4" borderId="52" xfId="0" applyFont="1" applyFill="1" applyBorder="1" applyAlignment="1">
      <alignment horizontal="center"/>
    </xf>
    <xf numFmtId="0" fontId="2" fillId="0" borderId="0" xfId="0" quotePrefix="1" applyFont="1" applyAlignment="1">
      <alignment wrapText="1"/>
    </xf>
    <xf numFmtId="0" fontId="2" fillId="0" borderId="7" xfId="0" quotePrefix="1" applyFont="1" applyBorder="1" applyAlignment="1">
      <alignment wrapText="1"/>
    </xf>
    <xf numFmtId="0" fontId="6" fillId="0" borderId="4" xfId="0" applyFont="1" applyBorder="1"/>
    <xf numFmtId="2" fontId="0" fillId="0" borderId="59" xfId="0" applyNumberForma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164" fontId="0" fillId="0" borderId="7" xfId="0" applyNumberFormat="1" applyBorder="1"/>
    <xf numFmtId="0" fontId="7" fillId="0" borderId="4" xfId="0" applyFont="1" applyBorder="1"/>
    <xf numFmtId="0" fontId="0" fillId="0" borderId="4" xfId="0" quotePrefix="1" applyBorder="1" applyAlignment="1">
      <alignment wrapText="1"/>
    </xf>
    <xf numFmtId="0" fontId="0" fillId="0" borderId="4" xfId="0" quotePrefix="1" applyBorder="1" applyAlignment="1">
      <alignment horizontal="left" wrapText="1"/>
    </xf>
    <xf numFmtId="0" fontId="2" fillId="0" borderId="4" xfId="0" applyFont="1" applyBorder="1"/>
    <xf numFmtId="0" fontId="2" fillId="0" borderId="4" xfId="0" quotePrefix="1" applyFont="1" applyBorder="1"/>
    <xf numFmtId="0" fontId="2" fillId="0" borderId="5" xfId="0" applyFont="1" applyBorder="1" applyAlignment="1">
      <alignment horizontal="left" wrapText="1"/>
    </xf>
    <xf numFmtId="0" fontId="2" fillId="0" borderId="6" xfId="0" applyFont="1" applyBorder="1" applyAlignment="1">
      <alignment horizontal="left" wrapText="1"/>
    </xf>
    <xf numFmtId="164" fontId="0" fillId="0" borderId="6" xfId="0" applyNumberFormat="1" applyBorder="1" applyAlignment="1">
      <alignment wrapText="1"/>
    </xf>
    <xf numFmtId="0" fontId="6" fillId="0" borderId="1" xfId="0" applyFont="1" applyBorder="1" applyAlignment="1">
      <alignment horizontal="centerContinuous" vertical="top"/>
    </xf>
    <xf numFmtId="0" fontId="24" fillId="4" borderId="41" xfId="0" applyFont="1" applyFill="1" applyBorder="1" applyAlignment="1">
      <alignment horizontal="center" wrapText="1"/>
    </xf>
    <xf numFmtId="2" fontId="0" fillId="0" borderId="0" xfId="0" applyNumberFormat="1" applyProtection="1">
      <protection locked="0"/>
    </xf>
    <xf numFmtId="164" fontId="0" fillId="0" borderId="0" xfId="0" applyNumberFormat="1" applyProtection="1">
      <protection locked="0"/>
    </xf>
    <xf numFmtId="164" fontId="5" fillId="0" borderId="26" xfId="0" applyNumberFormat="1" applyFont="1" applyBorder="1" applyAlignment="1">
      <alignment horizontal="center"/>
    </xf>
    <xf numFmtId="164" fontId="5" fillId="0" borderId="23" xfId="0" applyNumberFormat="1" applyFont="1" applyBorder="1" applyAlignment="1">
      <alignment horizontal="center"/>
    </xf>
    <xf numFmtId="164" fontId="5" fillId="0" borderId="12" xfId="0" applyNumberFormat="1" applyFont="1" applyBorder="1" applyAlignment="1">
      <alignment horizontal="center"/>
    </xf>
    <xf numFmtId="164" fontId="5" fillId="0" borderId="38" xfId="0" applyNumberFormat="1" applyFont="1" applyBorder="1" applyAlignment="1">
      <alignment horizontal="center"/>
    </xf>
    <xf numFmtId="0" fontId="34" fillId="0" borderId="0" xfId="0" applyFont="1" applyProtection="1">
      <protection locked="0"/>
    </xf>
    <xf numFmtId="0" fontId="5" fillId="5" borderId="0" xfId="0" applyFont="1" applyFill="1" applyProtection="1">
      <protection locked="0"/>
    </xf>
    <xf numFmtId="164" fontId="5" fillId="5" borderId="0" xfId="0" applyNumberFormat="1" applyFont="1" applyFill="1" applyAlignment="1" applyProtection="1">
      <alignment horizontal="left"/>
      <protection locked="0"/>
    </xf>
    <xf numFmtId="2" fontId="5" fillId="5" borderId="0" xfId="0" applyNumberFormat="1" applyFont="1" applyFill="1" applyProtection="1">
      <protection locked="0"/>
    </xf>
    <xf numFmtId="164" fontId="5" fillId="5" borderId="0" xfId="0" applyNumberFormat="1" applyFont="1" applyFill="1" applyProtection="1">
      <protection locked="0"/>
    </xf>
    <xf numFmtId="0" fontId="2" fillId="5" borderId="4" xfId="0" applyFont="1" applyFill="1" applyBorder="1" applyAlignment="1" applyProtection="1">
      <alignment horizontal="left" wrapText="1"/>
      <protection locked="0"/>
    </xf>
    <xf numFmtId="0" fontId="2" fillId="5" borderId="0" xfId="0" applyFont="1" applyFill="1" applyAlignment="1" applyProtection="1">
      <alignment horizontal="left" wrapText="1"/>
      <protection locked="0"/>
    </xf>
    <xf numFmtId="164" fontId="34" fillId="5" borderId="12" xfId="0" applyNumberFormat="1" applyFont="1" applyFill="1" applyBorder="1" applyAlignment="1" applyProtection="1">
      <alignment horizontal="center"/>
      <protection locked="0"/>
    </xf>
    <xf numFmtId="0" fontId="34" fillId="5" borderId="12" xfId="0" applyFont="1" applyFill="1" applyBorder="1" applyAlignment="1" applyProtection="1">
      <alignment horizontal="center"/>
      <protection locked="0"/>
    </xf>
    <xf numFmtId="0" fontId="5" fillId="5" borderId="23" xfId="0" applyFont="1" applyFill="1" applyBorder="1" applyAlignment="1" applyProtection="1">
      <alignment horizontal="center"/>
      <protection locked="0"/>
    </xf>
    <xf numFmtId="164" fontId="5" fillId="5" borderId="12" xfId="0" applyNumberFormat="1" applyFont="1" applyFill="1" applyBorder="1" applyAlignment="1" applyProtection="1">
      <alignment horizontal="center"/>
      <protection locked="0"/>
    </xf>
    <xf numFmtId="0" fontId="5" fillId="5" borderId="25" xfId="0" applyFont="1" applyFill="1" applyBorder="1" applyAlignment="1" applyProtection="1">
      <alignment horizontal="center"/>
      <protection locked="0"/>
    </xf>
    <xf numFmtId="164" fontId="5" fillId="5" borderId="38" xfId="0" applyNumberFormat="1" applyFont="1" applyFill="1" applyBorder="1" applyAlignment="1" applyProtection="1">
      <alignment horizontal="center"/>
      <protection locked="0"/>
    </xf>
    <xf numFmtId="164" fontId="5" fillId="5" borderId="27" xfId="0" applyNumberFormat="1" applyFont="1" applyFill="1" applyBorder="1" applyAlignment="1" applyProtection="1">
      <alignment horizontal="center"/>
      <protection locked="0"/>
    </xf>
    <xf numFmtId="164" fontId="5" fillId="5" borderId="23" xfId="0" applyNumberFormat="1" applyFont="1" applyFill="1" applyBorder="1" applyAlignment="1" applyProtection="1">
      <alignment horizontal="center"/>
      <protection locked="0"/>
    </xf>
    <xf numFmtId="0" fontId="5" fillId="5" borderId="13" xfId="0" applyFont="1" applyFill="1" applyBorder="1" applyAlignment="1" applyProtection="1">
      <alignment horizontal="center"/>
      <protection locked="0"/>
    </xf>
    <xf numFmtId="164" fontId="5" fillId="5" borderId="25" xfId="0" applyNumberFormat="1" applyFont="1" applyFill="1" applyBorder="1" applyAlignment="1" applyProtection="1">
      <alignment horizontal="center"/>
      <protection locked="0"/>
    </xf>
    <xf numFmtId="0" fontId="5" fillId="5" borderId="14" xfId="0" applyFont="1" applyFill="1" applyBorder="1" applyAlignment="1" applyProtection="1">
      <alignment horizontal="center"/>
      <protection locked="0"/>
    </xf>
    <xf numFmtId="0" fontId="1" fillId="5" borderId="26" xfId="0" applyFont="1" applyFill="1" applyBorder="1" applyProtection="1">
      <protection locked="0"/>
    </xf>
    <xf numFmtId="0" fontId="23" fillId="5" borderId="26" xfId="0" applyFont="1" applyFill="1" applyBorder="1" applyProtection="1">
      <protection locked="0"/>
    </xf>
    <xf numFmtId="164" fontId="0" fillId="5" borderId="41" xfId="0" applyNumberFormat="1" applyFill="1" applyBorder="1" applyAlignment="1" applyProtection="1">
      <alignment horizontal="center"/>
      <protection locked="0"/>
    </xf>
    <xf numFmtId="164" fontId="0" fillId="5" borderId="36" xfId="0" applyNumberFormat="1" applyFill="1" applyBorder="1" applyAlignment="1" applyProtection="1">
      <alignment horizontal="center"/>
      <protection locked="0"/>
    </xf>
    <xf numFmtId="164" fontId="0" fillId="5" borderId="37" xfId="0" applyNumberFormat="1" applyFill="1" applyBorder="1" applyAlignment="1" applyProtection="1">
      <alignment horizontal="center"/>
      <protection locked="0"/>
    </xf>
    <xf numFmtId="164" fontId="5" fillId="0" borderId="22" xfId="0" applyNumberFormat="1" applyFont="1" applyBorder="1" applyAlignment="1">
      <alignment horizontal="center"/>
    </xf>
    <xf numFmtId="164" fontId="5" fillId="0" borderId="13" xfId="0" applyNumberFormat="1" applyFont="1" applyBorder="1" applyAlignment="1">
      <alignment horizontal="center"/>
    </xf>
    <xf numFmtId="164" fontId="5" fillId="0" borderId="14" xfId="0" applyNumberFormat="1" applyFont="1" applyBorder="1" applyAlignment="1">
      <alignment horizontal="center"/>
    </xf>
    <xf numFmtId="0" fontId="5" fillId="0" borderId="0" xfId="0" applyFont="1" applyAlignment="1">
      <alignment vertical="center" wrapText="1"/>
    </xf>
    <xf numFmtId="0" fontId="15" fillId="0" borderId="0" xfId="0" applyFont="1"/>
    <xf numFmtId="164" fontId="2" fillId="0" borderId="27" xfId="0" applyNumberFormat="1" applyFont="1" applyBorder="1" applyAlignment="1">
      <alignment horizontal="center"/>
    </xf>
    <xf numFmtId="0" fontId="5" fillId="6" borderId="5" xfId="0" applyFont="1" applyFill="1" applyBorder="1" applyProtection="1">
      <protection locked="0"/>
    </xf>
    <xf numFmtId="0" fontId="0" fillId="6" borderId="8" xfId="0" applyFill="1" applyBorder="1"/>
    <xf numFmtId="164" fontId="0" fillId="5" borderId="0" xfId="0" applyNumberFormat="1" applyFill="1" applyProtection="1">
      <protection locked="0"/>
    </xf>
    <xf numFmtId="2" fontId="0" fillId="5" borderId="0" xfId="0" applyNumberFormat="1" applyFill="1" applyProtection="1">
      <protection locked="0"/>
    </xf>
    <xf numFmtId="0" fontId="0" fillId="5" borderId="0" xfId="0" applyFill="1" applyProtection="1">
      <protection locked="0"/>
    </xf>
    <xf numFmtId="0" fontId="0" fillId="5" borderId="23" xfId="0" applyFill="1" applyBorder="1" applyAlignment="1" applyProtection="1">
      <alignment horizontal="center"/>
      <protection locked="0"/>
    </xf>
    <xf numFmtId="164" fontId="0" fillId="5" borderId="12" xfId="0" applyNumberFormat="1" applyFill="1" applyBorder="1" applyAlignment="1" applyProtection="1">
      <alignment horizontal="center"/>
      <protection locked="0"/>
    </xf>
    <xf numFmtId="0" fontId="0" fillId="5" borderId="25" xfId="0" applyFill="1" applyBorder="1" applyAlignment="1" applyProtection="1">
      <alignment horizontal="center"/>
      <protection locked="0"/>
    </xf>
    <xf numFmtId="164" fontId="0" fillId="5" borderId="38" xfId="0" applyNumberFormat="1" applyFill="1" applyBorder="1" applyAlignment="1" applyProtection="1">
      <alignment horizontal="center"/>
      <protection locked="0"/>
    </xf>
    <xf numFmtId="164" fontId="0" fillId="5" borderId="27" xfId="0" applyNumberFormat="1" applyFill="1" applyBorder="1" applyAlignment="1" applyProtection="1">
      <alignment horizontal="center"/>
      <protection locked="0"/>
    </xf>
    <xf numFmtId="2" fontId="0" fillId="0" borderId="22" xfId="0" applyNumberFormat="1" applyBorder="1" applyAlignment="1" applyProtection="1">
      <alignment horizontal="centerContinuous"/>
      <protection locked="0"/>
    </xf>
    <xf numFmtId="2" fontId="0" fillId="0" borderId="24" xfId="0" applyNumberFormat="1" applyBorder="1" applyAlignment="1" applyProtection="1">
      <alignment horizontal="centerContinuous"/>
      <protection locked="0"/>
    </xf>
    <xf numFmtId="0" fontId="4" fillId="4" borderId="50" xfId="0" applyFont="1" applyFill="1" applyBorder="1" applyAlignment="1">
      <alignment horizontal="center" vertical="center"/>
    </xf>
    <xf numFmtId="0" fontId="20" fillId="4" borderId="0" xfId="0" applyFont="1" applyFill="1" applyAlignment="1">
      <alignment horizontal="center" wrapText="1"/>
    </xf>
    <xf numFmtId="1" fontId="0" fillId="0" borderId="23" xfId="0" applyNumberFormat="1" applyBorder="1" applyAlignment="1">
      <alignment horizontal="center"/>
    </xf>
    <xf numFmtId="1" fontId="0" fillId="0" borderId="25" xfId="0" applyNumberFormat="1" applyBorder="1" applyAlignment="1">
      <alignment horizontal="center"/>
    </xf>
    <xf numFmtId="0" fontId="4" fillId="4" borderId="52" xfId="0" applyFont="1" applyFill="1" applyBorder="1" applyAlignment="1">
      <alignment horizontal="center" vertical="center"/>
    </xf>
    <xf numFmtId="0" fontId="20" fillId="4" borderId="55" xfId="0" applyFont="1" applyFill="1" applyBorder="1" applyAlignment="1">
      <alignment horizontal="center" wrapText="1"/>
    </xf>
    <xf numFmtId="0" fontId="4" fillId="4" borderId="58" xfId="0" applyFont="1" applyFill="1" applyBorder="1" applyAlignment="1">
      <alignment horizontal="center" vertical="center"/>
    </xf>
    <xf numFmtId="0" fontId="4" fillId="4" borderId="53" xfId="0" applyFont="1" applyFill="1" applyBorder="1" applyAlignment="1">
      <alignment horizontal="center" vertical="center"/>
    </xf>
    <xf numFmtId="0" fontId="20" fillId="4" borderId="21" xfId="0" applyFont="1" applyFill="1" applyBorder="1" applyAlignment="1">
      <alignment horizontal="center" wrapText="1"/>
    </xf>
    <xf numFmtId="1" fontId="0" fillId="0" borderId="13" xfId="0" applyNumberFormat="1" applyBorder="1" applyAlignment="1">
      <alignment horizontal="centerContinuous"/>
    </xf>
    <xf numFmtId="1" fontId="0" fillId="0" borderId="14" xfId="0" applyNumberFormat="1" applyBorder="1" applyAlignment="1">
      <alignment horizontal="centerContinuous"/>
    </xf>
    <xf numFmtId="164" fontId="0" fillId="0" borderId="9" xfId="0" applyNumberFormat="1" applyBorder="1" applyAlignment="1">
      <alignment horizontal="center"/>
    </xf>
    <xf numFmtId="164" fontId="8" fillId="0" borderId="65" xfId="0" applyNumberFormat="1" applyFont="1" applyBorder="1" applyAlignment="1">
      <alignment horizontal="center"/>
    </xf>
    <xf numFmtId="1" fontId="8" fillId="0" borderId="15" xfId="0" applyNumberFormat="1" applyFont="1" applyBorder="1" applyAlignment="1">
      <alignment horizontal="centerContinuous"/>
    </xf>
    <xf numFmtId="1" fontId="8" fillId="0" borderId="16" xfId="0" applyNumberFormat="1" applyFont="1" applyBorder="1" applyAlignment="1">
      <alignment horizontal="centerContinuous"/>
    </xf>
    <xf numFmtId="0" fontId="0" fillId="0" borderId="0" xfId="0" applyAlignment="1">
      <alignment horizontal="center"/>
    </xf>
    <xf numFmtId="164" fontId="8" fillId="0" borderId="17" xfId="0" applyNumberFormat="1" applyFont="1" applyBorder="1" applyAlignment="1" applyProtection="1">
      <alignment horizontal="center"/>
      <protection locked="0"/>
    </xf>
    <xf numFmtId="164" fontId="5" fillId="0" borderId="11" xfId="0" applyNumberFormat="1" applyFont="1" applyBorder="1" applyAlignment="1">
      <alignment horizontal="center"/>
    </xf>
    <xf numFmtId="0" fontId="8" fillId="0" borderId="11" xfId="0" applyFont="1" applyBorder="1" applyAlignment="1" applyProtection="1">
      <alignment horizontal="centerContinuous"/>
      <protection locked="0"/>
    </xf>
    <xf numFmtId="0" fontId="8" fillId="0" borderId="17" xfId="0" applyFont="1" applyBorder="1" applyAlignment="1" applyProtection="1">
      <alignment horizontal="centerContinuous"/>
      <protection locked="0"/>
    </xf>
    <xf numFmtId="164" fontId="5" fillId="0" borderId="66" xfId="0" applyNumberFormat="1" applyFont="1" applyBorder="1" applyAlignment="1">
      <alignment horizontal="center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/>
      <protection locked="0"/>
    </xf>
    <xf numFmtId="0" fontId="37" fillId="0" borderId="0" xfId="0" applyFont="1" applyProtection="1">
      <protection locked="0"/>
    </xf>
    <xf numFmtId="164" fontId="37" fillId="0" borderId="0" xfId="0" applyNumberFormat="1" applyFont="1" applyProtection="1">
      <protection locked="0"/>
    </xf>
    <xf numFmtId="165" fontId="0" fillId="0" borderId="23" xfId="0" applyNumberFormat="1" applyBorder="1" applyAlignment="1" applyProtection="1">
      <alignment horizontal="centerContinuous"/>
      <protection locked="0"/>
    </xf>
    <xf numFmtId="165" fontId="0" fillId="0" borderId="25" xfId="0" applyNumberFormat="1" applyBorder="1" applyAlignment="1" applyProtection="1">
      <alignment horizontal="centerContinuous"/>
      <protection locked="0"/>
    </xf>
    <xf numFmtId="0" fontId="0" fillId="4" borderId="28" xfId="0" applyFill="1" applyBorder="1"/>
    <xf numFmtId="0" fontId="15" fillId="4" borderId="56" xfId="0" applyFont="1" applyFill="1" applyBorder="1" applyAlignment="1" applyProtection="1">
      <alignment horizontal="centerContinuous"/>
      <protection locked="0"/>
    </xf>
    <xf numFmtId="0" fontId="0" fillId="4" borderId="56" xfId="0" applyFill="1" applyBorder="1"/>
    <xf numFmtId="164" fontId="8" fillId="0" borderId="10" xfId="0" applyNumberFormat="1" applyFont="1" applyBorder="1" applyAlignment="1" applyProtection="1">
      <alignment horizontal="center"/>
      <protection locked="0"/>
    </xf>
    <xf numFmtId="164" fontId="5" fillId="0" borderId="10" xfId="0" applyNumberFormat="1" applyFont="1" applyBorder="1" applyAlignment="1">
      <alignment horizontal="center"/>
    </xf>
    <xf numFmtId="0" fontId="0" fillId="4" borderId="61" xfId="0" applyFill="1" applyBorder="1" applyAlignment="1">
      <alignment horizontal="centerContinuous"/>
    </xf>
    <xf numFmtId="2" fontId="0" fillId="0" borderId="26" xfId="0" applyNumberFormat="1" applyBorder="1" applyAlignment="1" applyProtection="1">
      <alignment horizontal="centerContinuous"/>
      <protection locked="0"/>
    </xf>
    <xf numFmtId="2" fontId="0" fillId="0" borderId="27" xfId="0" applyNumberFormat="1" applyBorder="1" applyAlignment="1" applyProtection="1">
      <alignment horizontal="centerContinuous"/>
      <protection locked="0"/>
    </xf>
    <xf numFmtId="164" fontId="5" fillId="6" borderId="26" xfId="0" applyNumberFormat="1" applyFont="1" applyFill="1" applyBorder="1" applyAlignment="1" applyProtection="1">
      <alignment horizontal="center"/>
      <protection locked="0"/>
    </xf>
    <xf numFmtId="0" fontId="2" fillId="0" borderId="36" xfId="0" applyFont="1" applyBorder="1" applyAlignment="1">
      <alignment horizontal="left" vertical="center" wrapText="1"/>
    </xf>
    <xf numFmtId="0" fontId="2" fillId="0" borderId="12" xfId="0" applyFont="1" applyBorder="1" applyAlignment="1">
      <alignment horizontal="left" vertical="center" wrapText="1"/>
    </xf>
    <xf numFmtId="0" fontId="2" fillId="4" borderId="30" xfId="0" applyFont="1" applyFill="1" applyBorder="1" applyAlignment="1">
      <alignment horizontal="center" vertical="center" wrapText="1"/>
    </xf>
    <xf numFmtId="0" fontId="2" fillId="4" borderId="63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4" borderId="2" xfId="0" applyFont="1" applyFill="1" applyBorder="1" applyAlignment="1">
      <alignment horizontal="center" vertical="center" wrapText="1"/>
    </xf>
    <xf numFmtId="0" fontId="1" fillId="4" borderId="4" xfId="0" applyFont="1" applyFill="1" applyBorder="1" applyAlignment="1">
      <alignment horizontal="center" vertical="center" wrapText="1"/>
    </xf>
    <xf numFmtId="0" fontId="1" fillId="4" borderId="0" xfId="0" applyFont="1" applyFill="1" applyAlignment="1">
      <alignment horizontal="center" vertical="center" wrapText="1"/>
    </xf>
    <xf numFmtId="0" fontId="1" fillId="4" borderId="43" xfId="0" applyFont="1" applyFill="1" applyBorder="1" applyAlignment="1">
      <alignment horizontal="center" vertical="center" wrapText="1"/>
    </xf>
    <xf numFmtId="0" fontId="1" fillId="4" borderId="61" xfId="0" applyFont="1" applyFill="1" applyBorder="1" applyAlignment="1">
      <alignment horizontal="center" vertical="center" wrapText="1"/>
    </xf>
    <xf numFmtId="0" fontId="2" fillId="5" borderId="19" xfId="0" applyFont="1" applyFill="1" applyBorder="1" applyAlignment="1" applyProtection="1">
      <alignment horizontal="left"/>
      <protection locked="0"/>
    </xf>
    <xf numFmtId="0" fontId="2" fillId="5" borderId="27" xfId="0" applyFont="1" applyFill="1" applyBorder="1" applyAlignment="1" applyProtection="1">
      <alignment horizontal="left"/>
      <protection locked="0"/>
    </xf>
    <xf numFmtId="0" fontId="2" fillId="5" borderId="32" xfId="0" applyFont="1" applyFill="1" applyBorder="1" applyAlignment="1" applyProtection="1">
      <alignment horizontal="left"/>
      <protection locked="0"/>
    </xf>
    <xf numFmtId="0" fontId="6" fillId="4" borderId="62" xfId="0" applyFont="1" applyFill="1" applyBorder="1" applyAlignment="1">
      <alignment horizontal="center" vertical="center"/>
    </xf>
    <xf numFmtId="0" fontId="6" fillId="4" borderId="42" xfId="0" applyFont="1" applyFill="1" applyBorder="1" applyAlignment="1">
      <alignment horizontal="center" vertical="center"/>
    </xf>
    <xf numFmtId="0" fontId="1" fillId="4" borderId="39" xfId="0" applyFont="1" applyFill="1" applyBorder="1" applyAlignment="1">
      <alignment horizontal="center" vertical="center" wrapText="1"/>
    </xf>
    <xf numFmtId="0" fontId="1" fillId="4" borderId="44" xfId="0" applyFont="1" applyFill="1" applyBorder="1" applyAlignment="1">
      <alignment horizontal="center" vertical="center" wrapText="1"/>
    </xf>
    <xf numFmtId="0" fontId="17" fillId="0" borderId="2" xfId="0" applyFont="1" applyBorder="1" applyAlignment="1">
      <alignment wrapText="1"/>
    </xf>
    <xf numFmtId="0" fontId="17" fillId="0" borderId="0" xfId="0" applyFont="1" applyAlignment="1">
      <alignment wrapText="1"/>
    </xf>
    <xf numFmtId="0" fontId="0" fillId="4" borderId="33" xfId="0" applyFill="1" applyBorder="1" applyAlignment="1">
      <alignment horizontal="center" vertical="center" wrapText="1"/>
    </xf>
    <xf numFmtId="0" fontId="0" fillId="4" borderId="34" xfId="0" applyFill="1" applyBorder="1" applyAlignment="1">
      <alignment horizontal="center" vertical="center" wrapText="1"/>
    </xf>
    <xf numFmtId="0" fontId="0" fillId="4" borderId="67" xfId="0" applyFill="1" applyBorder="1" applyAlignment="1">
      <alignment horizontal="center" vertical="center" wrapText="1"/>
    </xf>
    <xf numFmtId="0" fontId="0" fillId="4" borderId="18" xfId="0" applyFill="1" applyBorder="1" applyAlignment="1">
      <alignment horizontal="center" vertical="center" wrapText="1"/>
    </xf>
    <xf numFmtId="0" fontId="0" fillId="4" borderId="26" xfId="0" applyFill="1" applyBorder="1" applyAlignment="1">
      <alignment horizontal="center" vertical="center" wrapText="1"/>
    </xf>
    <xf numFmtId="0" fontId="0" fillId="4" borderId="22" xfId="0" applyFill="1" applyBorder="1" applyAlignment="1">
      <alignment horizontal="center" vertical="center" wrapText="1"/>
    </xf>
    <xf numFmtId="0" fontId="2" fillId="4" borderId="28" xfId="0" applyFont="1" applyFill="1" applyBorder="1" applyAlignment="1">
      <alignment horizontal="center" vertical="center" wrapText="1"/>
    </xf>
    <xf numFmtId="0" fontId="2" fillId="4" borderId="56" xfId="0" applyFont="1" applyFill="1" applyBorder="1" applyAlignment="1">
      <alignment horizontal="center" vertical="center" wrapText="1"/>
    </xf>
    <xf numFmtId="0" fontId="2" fillId="0" borderId="37" xfId="0" applyFont="1" applyBorder="1" applyAlignment="1">
      <alignment horizontal="left" vertical="center" wrapText="1"/>
    </xf>
    <xf numFmtId="0" fontId="2" fillId="0" borderId="38" xfId="0" applyFont="1" applyBorder="1" applyAlignment="1">
      <alignment horizontal="left" vertical="center" wrapText="1"/>
    </xf>
    <xf numFmtId="0" fontId="5" fillId="5" borderId="0" xfId="0" applyFont="1" applyFill="1" applyAlignment="1" applyProtection="1">
      <alignment horizontal="left"/>
      <protection locked="0"/>
    </xf>
    <xf numFmtId="0" fontId="4" fillId="4" borderId="59" xfId="0" applyFont="1" applyFill="1" applyBorder="1" applyAlignment="1">
      <alignment horizontal="center" vertical="center"/>
    </xf>
    <xf numFmtId="0" fontId="4" fillId="4" borderId="7" xfId="0" applyFont="1" applyFill="1" applyBorder="1" applyAlignment="1">
      <alignment horizontal="center" vertical="center"/>
    </xf>
    <xf numFmtId="0" fontId="24" fillId="4" borderId="68" xfId="0" applyFont="1" applyFill="1" applyBorder="1" applyAlignment="1">
      <alignment horizontal="center" wrapText="1"/>
    </xf>
    <xf numFmtId="0" fontId="24" fillId="4" borderId="47" xfId="0" applyFont="1" applyFill="1" applyBorder="1" applyAlignment="1">
      <alignment horizontal="center" wrapText="1"/>
    </xf>
    <xf numFmtId="0" fontId="8" fillId="0" borderId="33" xfId="0" applyFont="1" applyBorder="1" applyAlignment="1">
      <alignment horizontal="center" vertical="center" wrapText="1"/>
    </xf>
    <xf numFmtId="0" fontId="8" fillId="0" borderId="34" xfId="0" applyFont="1" applyBorder="1" applyAlignment="1">
      <alignment horizontal="center" vertical="center" wrapText="1"/>
    </xf>
    <xf numFmtId="0" fontId="8" fillId="0" borderId="35" xfId="0" applyFont="1" applyBorder="1" applyAlignment="1">
      <alignment horizontal="center" vertical="center" wrapText="1"/>
    </xf>
    <xf numFmtId="0" fontId="4" fillId="4" borderId="51" xfId="0" applyFont="1" applyFill="1" applyBorder="1" applyAlignment="1">
      <alignment horizontal="center" vertical="center"/>
    </xf>
    <xf numFmtId="0" fontId="4" fillId="4" borderId="54" xfId="0" applyFont="1" applyFill="1" applyBorder="1" applyAlignment="1">
      <alignment horizontal="center" vertical="center"/>
    </xf>
    <xf numFmtId="0" fontId="0" fillId="0" borderId="0" xfId="0" applyAlignment="1">
      <alignment horizontal="center" vertical="center" wrapText="1"/>
    </xf>
    <xf numFmtId="0" fontId="30" fillId="4" borderId="28" xfId="0" applyFont="1" applyFill="1" applyBorder="1" applyAlignment="1">
      <alignment horizontal="center" vertical="center"/>
    </xf>
    <xf numFmtId="0" fontId="30" fillId="4" borderId="21" xfId="0" applyFont="1" applyFill="1" applyBorder="1" applyAlignment="1">
      <alignment horizontal="center" vertical="center"/>
    </xf>
    <xf numFmtId="0" fontId="4" fillId="4" borderId="62" xfId="0" applyFont="1" applyFill="1" applyBorder="1" applyAlignment="1">
      <alignment horizontal="center" wrapText="1"/>
    </xf>
    <xf numFmtId="0" fontId="4" fillId="4" borderId="42" xfId="0" applyFont="1" applyFill="1" applyBorder="1" applyAlignment="1">
      <alignment horizontal="center" wrapText="1"/>
    </xf>
    <xf numFmtId="0" fontId="2" fillId="0" borderId="0" xfId="0" quotePrefix="1" applyFont="1" applyAlignment="1">
      <alignment horizontal="left" wrapText="1"/>
    </xf>
    <xf numFmtId="0" fontId="2" fillId="0" borderId="7" xfId="0" quotePrefix="1" applyFont="1" applyBorder="1" applyAlignment="1">
      <alignment horizontal="left" wrapText="1"/>
    </xf>
    <xf numFmtId="0" fontId="3" fillId="0" borderId="0" xfId="0" quotePrefix="1" applyFont="1" applyAlignment="1">
      <alignment horizontal="left" wrapText="1"/>
    </xf>
    <xf numFmtId="0" fontId="3" fillId="0" borderId="7" xfId="0" quotePrefix="1" applyFont="1" applyBorder="1" applyAlignment="1">
      <alignment horizontal="left" wrapText="1"/>
    </xf>
    <xf numFmtId="0" fontId="4" fillId="4" borderId="68" xfId="0" applyFont="1" applyFill="1" applyBorder="1" applyAlignment="1">
      <alignment horizontal="center" vertical="center" wrapText="1"/>
    </xf>
    <xf numFmtId="0" fontId="4" fillId="4" borderId="41" xfId="0" applyFont="1" applyFill="1" applyBorder="1" applyAlignment="1">
      <alignment horizontal="center" vertical="center" wrapText="1"/>
    </xf>
    <xf numFmtId="0" fontId="2" fillId="0" borderId="4" xfId="0" quotePrefix="1" applyFont="1" applyBorder="1" applyAlignment="1">
      <alignment horizontal="left" wrapText="1"/>
    </xf>
    <xf numFmtId="0" fontId="5" fillId="0" borderId="58" xfId="0" applyFont="1" applyBorder="1" applyAlignment="1">
      <alignment horizontal="left" vertical="center" wrapText="1"/>
    </xf>
    <xf numFmtId="0" fontId="5" fillId="0" borderId="50" xfId="0" applyFont="1" applyBorder="1" applyAlignment="1">
      <alignment horizontal="left" vertical="center" wrapText="1"/>
    </xf>
    <xf numFmtId="0" fontId="5" fillId="0" borderId="51" xfId="0" applyFont="1" applyBorder="1" applyAlignment="1">
      <alignment horizontal="left" vertical="center" wrapText="1"/>
    </xf>
    <xf numFmtId="0" fontId="5" fillId="0" borderId="63" xfId="0" applyFont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5" fillId="0" borderId="54" xfId="0" applyFont="1" applyBorder="1" applyAlignment="1">
      <alignment horizontal="left" vertical="center" wrapText="1"/>
    </xf>
    <xf numFmtId="0" fontId="5" fillId="0" borderId="20" xfId="0" applyFont="1" applyBorder="1" applyAlignment="1">
      <alignment horizontal="left" vertical="center" wrapText="1"/>
    </xf>
    <xf numFmtId="0" fontId="5" fillId="0" borderId="61" xfId="0" applyFont="1" applyBorder="1" applyAlignment="1">
      <alignment horizontal="left" vertical="center" wrapText="1"/>
    </xf>
    <xf numFmtId="0" fontId="5" fillId="0" borderId="44" xfId="0" applyFont="1" applyBorder="1" applyAlignment="1">
      <alignment horizontal="left" vertical="center" wrapText="1"/>
    </xf>
    <xf numFmtId="0" fontId="0" fillId="5" borderId="23" xfId="0" applyFill="1" applyBorder="1" applyAlignment="1" applyProtection="1">
      <alignment horizontal="center"/>
      <protection locked="0"/>
    </xf>
    <xf numFmtId="0" fontId="0" fillId="5" borderId="22" xfId="0" applyFill="1" applyBorder="1" applyAlignment="1" applyProtection="1">
      <alignment horizontal="center"/>
      <protection locked="0"/>
    </xf>
    <xf numFmtId="0" fontId="0" fillId="5" borderId="25" xfId="0" applyFill="1" applyBorder="1" applyAlignment="1" applyProtection="1">
      <alignment horizontal="center"/>
      <protection locked="0"/>
    </xf>
    <xf numFmtId="0" fontId="0" fillId="5" borderId="24" xfId="0" applyFill="1" applyBorder="1" applyAlignment="1" applyProtection="1">
      <alignment horizontal="center"/>
      <protection locked="0"/>
    </xf>
    <xf numFmtId="0" fontId="4" fillId="4" borderId="68" xfId="0" applyFont="1" applyFill="1" applyBorder="1" applyAlignment="1">
      <alignment horizontal="center" wrapText="1"/>
    </xf>
    <xf numFmtId="0" fontId="4" fillId="4" borderId="41" xfId="0" applyFont="1" applyFill="1" applyBorder="1" applyAlignment="1">
      <alignment horizontal="center" wrapText="1"/>
    </xf>
    <xf numFmtId="0" fontId="14" fillId="4" borderId="30" xfId="0" applyFont="1" applyFill="1" applyBorder="1" applyAlignment="1">
      <alignment horizontal="center"/>
    </xf>
    <xf numFmtId="0" fontId="14" fillId="4" borderId="3" xfId="0" applyFont="1" applyFill="1" applyBorder="1" applyAlignment="1">
      <alignment horizontal="center"/>
    </xf>
    <xf numFmtId="0" fontId="14" fillId="4" borderId="63" xfId="0" applyFont="1" applyFill="1" applyBorder="1" applyAlignment="1">
      <alignment horizontal="center"/>
    </xf>
    <xf numFmtId="0" fontId="14" fillId="4" borderId="7" xfId="0" applyFont="1" applyFill="1" applyBorder="1" applyAlignment="1">
      <alignment horizontal="center"/>
    </xf>
    <xf numFmtId="0" fontId="4" fillId="4" borderId="30" xfId="0" applyFont="1" applyFill="1" applyBorder="1" applyAlignment="1">
      <alignment horizontal="center" vertical="center" wrapText="1"/>
    </xf>
    <xf numFmtId="0" fontId="4" fillId="4" borderId="2" xfId="0" applyFont="1" applyFill="1" applyBorder="1" applyAlignment="1">
      <alignment horizontal="center" vertical="center" wrapText="1"/>
    </xf>
    <xf numFmtId="0" fontId="4" fillId="4" borderId="63" xfId="0" applyFont="1" applyFill="1" applyBorder="1" applyAlignment="1">
      <alignment horizontal="center" vertical="center" wrapText="1"/>
    </xf>
    <xf numFmtId="0" fontId="4" fillId="4" borderId="0" xfId="0" applyFont="1" applyFill="1" applyAlignment="1">
      <alignment horizontal="center" vertical="center" wrapText="1"/>
    </xf>
    <xf numFmtId="0" fontId="4" fillId="4" borderId="20" xfId="0" applyFont="1" applyFill="1" applyBorder="1" applyAlignment="1">
      <alignment horizontal="center" vertical="center" wrapText="1"/>
    </xf>
    <xf numFmtId="0" fontId="4" fillId="4" borderId="61" xfId="0" applyFont="1" applyFill="1" applyBorder="1" applyAlignment="1">
      <alignment horizontal="center" vertical="center" wrapText="1"/>
    </xf>
    <xf numFmtId="0" fontId="6" fillId="4" borderId="69" xfId="0" applyFont="1" applyFill="1" applyBorder="1" applyAlignment="1">
      <alignment horizontal="center" vertical="center"/>
    </xf>
    <xf numFmtId="0" fontId="6" fillId="4" borderId="40" xfId="0" applyFont="1" applyFill="1" applyBorder="1" applyAlignment="1">
      <alignment horizontal="center" vertical="center"/>
    </xf>
    <xf numFmtId="0" fontId="6" fillId="4" borderId="52" xfId="0" applyFont="1" applyFill="1" applyBorder="1" applyAlignment="1">
      <alignment horizontal="center" vertical="center"/>
    </xf>
    <xf numFmtId="0" fontId="6" fillId="4" borderId="53" xfId="0" applyFont="1" applyFill="1" applyBorder="1" applyAlignment="1">
      <alignment horizontal="center" vertical="center"/>
    </xf>
    <xf numFmtId="0" fontId="4" fillId="4" borderId="1" xfId="0" applyFont="1" applyFill="1" applyBorder="1" applyAlignment="1">
      <alignment horizontal="center" vertical="center" wrapText="1"/>
    </xf>
    <xf numFmtId="0" fontId="4" fillId="4" borderId="39" xfId="0" applyFont="1" applyFill="1" applyBorder="1" applyAlignment="1">
      <alignment horizontal="center" vertical="center" wrapText="1"/>
    </xf>
    <xf numFmtId="0" fontId="4" fillId="4" borderId="4" xfId="0" applyFont="1" applyFill="1" applyBorder="1" applyAlignment="1">
      <alignment horizontal="center" vertical="center" wrapText="1"/>
    </xf>
    <xf numFmtId="0" fontId="4" fillId="4" borderId="54" xfId="0" applyFont="1" applyFill="1" applyBorder="1" applyAlignment="1">
      <alignment horizontal="center" vertical="center" wrapText="1"/>
    </xf>
  </cellXfs>
  <cellStyles count="1">
    <cellStyle name="Normal" xfId="0" builtinId="0"/>
  </cellStyles>
  <dxfs count="16">
    <dxf>
      <font>
        <condense val="0"/>
        <extend val="0"/>
        <color indexed="10"/>
      </font>
    </dxf>
    <dxf>
      <font>
        <condense val="0"/>
        <extend val="0"/>
        <color indexed="22"/>
      </font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ont>
        <condense val="0"/>
        <extend val="0"/>
        <color indexed="10"/>
      </font>
    </dxf>
    <dxf>
      <font>
        <color theme="0" tint="-0.34998626667073579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22"/>
      </font>
      <fill>
        <patternFill patternType="none">
          <bgColor indexed="65"/>
        </patternFill>
      </fill>
    </dxf>
    <dxf>
      <font>
        <condense val="0"/>
        <extend val="0"/>
        <color indexed="9"/>
      </font>
    </dxf>
    <dxf>
      <font>
        <color theme="0" tint="-0.34998626667073579"/>
      </font>
      <fill>
        <patternFill patternType="none">
          <bgColor indexed="65"/>
        </patternFill>
      </fill>
    </dxf>
    <dxf>
      <font>
        <condense val="0"/>
        <extend val="0"/>
        <color indexed="22"/>
      </font>
    </dxf>
    <dxf>
      <fill>
        <patternFill>
          <bgColor indexed="10"/>
        </patternFill>
      </fill>
    </dxf>
    <dxf>
      <fill>
        <patternFill>
          <bgColor indexed="42"/>
        </patternFill>
      </fill>
    </dxf>
    <dxf>
      <fill>
        <patternFill>
          <bgColor indexed="10"/>
        </patternFill>
      </fill>
    </dxf>
    <dxf>
      <fill>
        <patternFill>
          <bgColor rgb="FFCCFF66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28575">
              <a:noFill/>
            </a:ln>
          </c:spPr>
          <c:marker>
            <c:symbol val="diamond"/>
            <c:size val="6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xVal>
          <c:yVal>
            <c:numRef>
              <c:f>#REF!</c:f>
              <c:numCache>
                <c:formatCode>General</c:formatCode>
                <c:ptCount val="1"/>
                <c:pt idx="0">
                  <c:v>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#REF!</c15:sqref>
                        </c15:formulaRef>
                      </c:ext>
                    </c:extLst>
                    <c:strCache>
                      <c:ptCount val="1"/>
                      <c:pt idx="0">
                        <c:v>#¡REF!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915-4285-AA27-AAAB976664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7615"/>
        <c:axId val="1"/>
      </c:scatterChart>
      <c:valAx>
        <c:axId val="39157615"/>
        <c:scaling>
          <c:orientation val="minMax"/>
          <c:max val="100"/>
        </c:scaling>
        <c:delete val="0"/>
        <c:axPos val="b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% Finos (Pasa #0.08)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max"/>
        <c:crossBetween val="midCat"/>
        <c:majorUnit val="10"/>
      </c:valAx>
      <c:valAx>
        <c:axId val="1"/>
        <c:scaling>
          <c:orientation val="maxMin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3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Profundidad (m)</a:t>
                </a:r>
              </a:p>
            </c:rich>
          </c:tx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3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57615"/>
        <c:crosses val="autoZero"/>
        <c:crossBetween val="midCat"/>
      </c:valAx>
      <c:spPr>
        <a:noFill/>
        <a:ln w="12700">
          <a:solidFill>
            <a:srgbClr val="80808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3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de servicio</a:t>
            </a:r>
          </a:p>
        </c:rich>
      </c:tx>
      <c:layout>
        <c:manualLayout>
          <c:xMode val="edge"/>
          <c:yMode val="edge"/>
          <c:x val="0.28967280853117539"/>
          <c:y val="4.081632653061224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105810800007379"/>
          <c:y val="0.13877551020408163"/>
          <c:w val="0.80100854185756187"/>
          <c:h val="0.66530612244897958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ROCA!$B$75:$B$79</c:f>
              <c:numCache>
                <c:formatCode>0.0</c:formatCode>
                <c:ptCount val="5"/>
                <c:pt idx="0">
                  <c:v>1</c:v>
                </c:pt>
                <c:pt idx="1">
                  <c:v>1.5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ROCA!$E$75:$E$79</c:f>
              <c:numCache>
                <c:formatCode>0.00</c:formatCode>
                <c:ptCount val="5"/>
                <c:pt idx="0">
                  <c:v>3.1383145447545857</c:v>
                </c:pt>
                <c:pt idx="1">
                  <c:v>3.0729329917388646</c:v>
                </c:pt>
                <c:pt idx="2">
                  <c:v>3.0402422152310047</c:v>
                </c:pt>
                <c:pt idx="3">
                  <c:v>3.0206277493262887</c:v>
                </c:pt>
                <c:pt idx="4">
                  <c:v>3.0075514387231443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6C4-4AA6-8702-633B512FD1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59535"/>
        <c:axId val="1"/>
      </c:scatterChart>
      <c:valAx>
        <c:axId val="39159535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5516425686083947"/>
              <c:y val="0.89795918367346939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 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(MPa)</a:t>
                </a:r>
              </a:p>
            </c:rich>
          </c:tx>
          <c:layout>
            <c:manualLayout>
              <c:xMode val="edge"/>
              <c:yMode val="edge"/>
              <c:x val="1.2594458438287154E-2"/>
              <c:y val="0.37142857142857144"/>
            </c:manualLayout>
          </c:layout>
          <c:overlay val="0"/>
          <c:spPr>
            <a:noFill/>
            <a:ln w="25400">
              <a:noFill/>
            </a:ln>
          </c:spPr>
        </c:title>
        <c:numFmt formatCode="0.0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5953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por hundimiento</a:t>
            </a:r>
          </a:p>
        </c:rich>
      </c:tx>
      <c:layout>
        <c:manualLayout>
          <c:xMode val="edge"/>
          <c:yMode val="edge"/>
          <c:x val="0.27064241107792558"/>
          <c:y val="3.5971370737329422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220655953738667"/>
          <c:y val="0.10791703351110193"/>
          <c:w val="0.81424723606084304"/>
          <c:h val="0.7302385934251230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SUELOS!$C$85</c:f>
              <c:strCache>
                <c:ptCount val="1"/>
                <c:pt idx="0">
                  <c:v>Zapata cuadrada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SUELOS!$C$88:$C$92</c:f>
              <c:numCache>
                <c:formatCode>0.000</c:formatCode>
                <c:ptCount val="5"/>
                <c:pt idx="0">
                  <c:v>0.15048079832640052</c:v>
                </c:pt>
                <c:pt idx="1">
                  <c:v>0.15997478108072899</c:v>
                </c:pt>
                <c:pt idx="2">
                  <c:v>0.166304102916948</c:v>
                </c:pt>
                <c:pt idx="3">
                  <c:v>0.18212740750749551</c:v>
                </c:pt>
                <c:pt idx="4">
                  <c:v>0.19795071209804305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D6F-404A-937D-85A3EBF5B2EA}"/>
            </c:ext>
          </c:extLst>
        </c:ser>
        <c:ser>
          <c:idx val="1"/>
          <c:order val="1"/>
          <c:tx>
            <c:strRef>
              <c:f>SUELOS!$E$85</c:f>
              <c:strCache>
                <c:ptCount val="1"/>
                <c:pt idx="0">
                  <c:v>Zapata corrida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SUELOS!$E$88:$E$92</c:f>
              <c:numCache>
                <c:formatCode>0.000</c:formatCode>
                <c:ptCount val="5"/>
                <c:pt idx="0">
                  <c:v>0.12305872409075296</c:v>
                </c:pt>
                <c:pt idx="1">
                  <c:v>0.13662247164812505</c:v>
                </c:pt>
                <c:pt idx="2">
                  <c:v>0.14566361373645578</c:v>
                </c:pt>
                <c:pt idx="3">
                  <c:v>0.1682617219659055</c:v>
                </c:pt>
                <c:pt idx="4">
                  <c:v>0.19085304877910211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D6F-404A-937D-85A3EBF5B2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42735"/>
        <c:axId val="1"/>
      </c:scatterChart>
      <c:valAx>
        <c:axId val="3914273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784407638700335"/>
              <c:y val="0.9100719605621252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945817117688E-2"/>
              <c:y val="0.39928058808147138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4273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65827881859595139"/>
          <c:y val="0.67268307328742571"/>
          <c:w val="0.93581102362204727"/>
          <c:h val="0.8165724302912319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por asientos</a:t>
            </a:r>
          </a:p>
        </c:rich>
      </c:tx>
      <c:layout>
        <c:manualLayout>
          <c:xMode val="edge"/>
          <c:yMode val="edge"/>
          <c:x val="0.29357822244696474"/>
          <c:y val="3.8760068784505386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815056380182538"/>
          <c:y val="0.12393560010569332"/>
          <c:w val="0.82153665008670207"/>
          <c:h val="0.69232990403870065"/>
        </c:manualLayout>
      </c:layout>
      <c:scatterChart>
        <c:scatterStyle val="smoothMarker"/>
        <c:varyColors val="0"/>
        <c:ser>
          <c:idx val="0"/>
          <c:order val="0"/>
          <c:tx>
            <c:strRef>
              <c:f>SUELOS!$R$49</c:f>
              <c:strCache>
                <c:ptCount val="1"/>
                <c:pt idx="0">
                  <c:v>Zapata cuadrada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SUELOS!$R$52:$R$56</c:f>
              <c:numCache>
                <c:formatCode>0.000</c:formatCode>
                <c:ptCount val="5"/>
                <c:pt idx="0">
                  <c:v>0.92635610488778375</c:v>
                </c:pt>
                <c:pt idx="1">
                  <c:v>0.87425041291795047</c:v>
                </c:pt>
                <c:pt idx="2">
                  <c:v>0.8519097388978677</c:v>
                </c:pt>
                <c:pt idx="3">
                  <c:v>0.82092318403867515</c:v>
                </c:pt>
                <c:pt idx="4">
                  <c:v>0.80870058903087527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2F85-47B8-9ABC-1C61F8C00C98}"/>
            </c:ext>
          </c:extLst>
        </c:ser>
        <c:ser>
          <c:idx val="1"/>
          <c:order val="1"/>
          <c:tx>
            <c:strRef>
              <c:f>SUELOS!$T$49</c:f>
              <c:strCache>
                <c:ptCount val="1"/>
                <c:pt idx="0">
                  <c:v>Zapata corrida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SUELOS!$T$52:$T$56</c:f>
              <c:numCache>
                <c:formatCode>0.000</c:formatCode>
                <c:ptCount val="5"/>
                <c:pt idx="0">
                  <c:v>0.87765430907225706</c:v>
                </c:pt>
                <c:pt idx="1">
                  <c:v>0.8519097388978677</c:v>
                </c:pt>
                <c:pt idx="2">
                  <c:v>0.84146260414038465</c:v>
                </c:pt>
                <c:pt idx="3">
                  <c:v>0.82855879770954122</c:v>
                </c:pt>
                <c:pt idx="4">
                  <c:v>0.82567219219510746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2F85-47B8-9ABC-1C61F8C00C9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48975"/>
        <c:axId val="1"/>
      </c:scatterChart>
      <c:valAx>
        <c:axId val="3914897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6926653663704878"/>
              <c:y val="0.90310390080550285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889908256881E-2"/>
              <c:y val="0.414730292334147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4897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x val="0.64075296780562974"/>
          <c:y val="0.15385102724228436"/>
          <c:w val="0.276896867249392"/>
          <c:h val="0.17094533441940443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7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para zapata corrida</a:t>
            </a:r>
          </a:p>
        </c:rich>
      </c:tx>
      <c:layout>
        <c:manualLayout>
          <c:xMode val="edge"/>
          <c:yMode val="edge"/>
          <c:x val="0.24770655201842101"/>
          <c:y val="3.8910386201724788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0166921154008"/>
          <c:y val="0.16084437835170709"/>
          <c:w val="0.64360588279095809"/>
          <c:h val="0.68533691645509975"/>
        </c:manualLayout>
      </c:layout>
      <c:scatterChart>
        <c:scatterStyle val="smoothMarker"/>
        <c:varyColors val="0"/>
        <c:ser>
          <c:idx val="1"/>
          <c:order val="0"/>
          <c:tx>
            <c:v>q asientos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SUELOS!$T$52:$T$56</c:f>
              <c:numCache>
                <c:formatCode>0.000</c:formatCode>
                <c:ptCount val="5"/>
                <c:pt idx="0">
                  <c:v>0.87765430907225706</c:v>
                </c:pt>
                <c:pt idx="1">
                  <c:v>0.8519097388978677</c:v>
                </c:pt>
                <c:pt idx="2">
                  <c:v>0.84146260414038465</c:v>
                </c:pt>
                <c:pt idx="3">
                  <c:v>0.82855879770954122</c:v>
                </c:pt>
                <c:pt idx="4">
                  <c:v>0.82567219219510746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332-4245-AC4A-1930CDF6CD64}"/>
            </c:ext>
          </c:extLst>
        </c:ser>
        <c:ser>
          <c:idx val="3"/>
          <c:order val="1"/>
          <c:tx>
            <c:v>q hundimiento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SUELOS!$E$88:$E$92</c:f>
              <c:numCache>
                <c:formatCode>0.000</c:formatCode>
                <c:ptCount val="5"/>
                <c:pt idx="0">
                  <c:v>0.12305872409075296</c:v>
                </c:pt>
                <c:pt idx="1">
                  <c:v>0.13662247164812505</c:v>
                </c:pt>
                <c:pt idx="2">
                  <c:v>0.14566361373645578</c:v>
                </c:pt>
                <c:pt idx="3">
                  <c:v>0.1682617219659055</c:v>
                </c:pt>
                <c:pt idx="4">
                  <c:v>0.19085304877910211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7332-4245-AC4A-1930CDF6CD6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9172015"/>
        <c:axId val="1"/>
      </c:scatterChart>
      <c:valAx>
        <c:axId val="39172015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28717861187596949"/>
              <c:y val="0.9126171728533932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8045021979614E-2"/>
              <c:y val="0.40466929133858265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39172015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599300087489065"/>
          <c:y val="0.44756730408698914"/>
          <c:w val="0.98373905715773258"/>
          <c:h val="0.55596250468691411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85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para zapata cuadrada</a:t>
            </a:r>
          </a:p>
        </c:rich>
      </c:tx>
      <c:layout>
        <c:manualLayout>
          <c:xMode val="edge"/>
          <c:yMode val="edge"/>
          <c:x val="0.2454130631212082"/>
          <c:y val="3.891029578749464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2270334807988099"/>
          <c:y val="0.12847658773624993"/>
          <c:w val="0.64214752161804389"/>
          <c:h val="0.71877442328118202"/>
        </c:manualLayout>
      </c:layout>
      <c:scatterChart>
        <c:scatterStyle val="smoothMarker"/>
        <c:varyColors val="0"/>
        <c:ser>
          <c:idx val="0"/>
          <c:order val="0"/>
          <c:tx>
            <c:v>q asientos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SUELOS!$Q$52:$Q$56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SUELOS!$R$52:$R$56</c:f>
              <c:numCache>
                <c:formatCode>0.000</c:formatCode>
                <c:ptCount val="5"/>
                <c:pt idx="0">
                  <c:v>0.92635610488778375</c:v>
                </c:pt>
                <c:pt idx="1">
                  <c:v>0.87425041291795047</c:v>
                </c:pt>
                <c:pt idx="2">
                  <c:v>0.8519097388978677</c:v>
                </c:pt>
                <c:pt idx="3">
                  <c:v>0.82092318403867515</c:v>
                </c:pt>
                <c:pt idx="4">
                  <c:v>0.80870058903087527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D9C-44A9-83CE-6541ADB4B3EA}"/>
            </c:ext>
          </c:extLst>
        </c:ser>
        <c:ser>
          <c:idx val="2"/>
          <c:order val="1"/>
          <c:tx>
            <c:v>q hundimiento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SUELOS!$B$88:$B$92</c:f>
              <c:numCache>
                <c:formatCode>0.0</c:formatCode>
                <c:ptCount val="5"/>
                <c:pt idx="0">
                  <c:v>1.5</c:v>
                </c:pt>
                <c:pt idx="1">
                  <c:v>1.8</c:v>
                </c:pt>
                <c:pt idx="2">
                  <c:v>2</c:v>
                </c:pt>
                <c:pt idx="3">
                  <c:v>2.5</c:v>
                </c:pt>
                <c:pt idx="4">
                  <c:v>3</c:v>
                </c:pt>
              </c:numCache>
            </c:numRef>
          </c:xVal>
          <c:yVal>
            <c:numRef>
              <c:f>SUELOS!$C$88:$C$92</c:f>
              <c:numCache>
                <c:formatCode>0.000</c:formatCode>
                <c:ptCount val="5"/>
                <c:pt idx="0">
                  <c:v>0.15048079832640052</c:v>
                </c:pt>
                <c:pt idx="1">
                  <c:v>0.15997478108072899</c:v>
                </c:pt>
                <c:pt idx="2">
                  <c:v>0.166304102916948</c:v>
                </c:pt>
                <c:pt idx="3">
                  <c:v>0.18212740750749551</c:v>
                </c:pt>
                <c:pt idx="4">
                  <c:v>0.19795071209804305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FD9C-44A9-83CE-6541ADB4B3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1119"/>
        <c:axId val="1"/>
      </c:scatterChart>
      <c:valAx>
        <c:axId val="80411119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0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7385374983864722"/>
              <c:y val="0.90272370209043018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0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0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1.1467880039585217E-2"/>
              <c:y val="0.39688725079577819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80411119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legend>
      <c:legendPos val="r"/>
      <c:layout>
        <c:manualLayout>
          <c:xMode val="edge"/>
          <c:yMode val="edge"/>
          <c:wMode val="edge"/>
          <c:hMode val="edge"/>
          <c:x val="0.77507615851297285"/>
          <c:y val="0.44098732339308655"/>
          <c:w val="0.98367174390086487"/>
          <c:h val="0.54862977234228705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3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ES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0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ES"/>
              <a:t>Presión admisible de</a:t>
            </a:r>
            <a:r>
              <a:rPr lang="es-ES" baseline="0"/>
              <a:t> servicio</a:t>
            </a:r>
            <a:endParaRPr lang="es-ES"/>
          </a:p>
        </c:rich>
      </c:tx>
      <c:layout>
        <c:manualLayout>
          <c:xMode val="edge"/>
          <c:yMode val="edge"/>
          <c:x val="0.33961176281536237"/>
          <c:y val="3.5256469230006041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94336968692595"/>
          <c:y val="0.23000764321188516"/>
          <c:w val="0.80410677300901146"/>
          <c:h val="0.61002027112717372"/>
        </c:manualLayout>
      </c:layout>
      <c:scatterChart>
        <c:scatterStyle val="smoothMarker"/>
        <c:varyColors val="0"/>
        <c:ser>
          <c:idx val="0"/>
          <c:order val="0"/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'SUELOS GRANULARES'!$D$71:$D$75</c:f>
              <c:numCache>
                <c:formatCode>0.0</c:formatCode>
                <c:ptCount val="5"/>
                <c:pt idx="0">
                  <c:v>1.5</c:v>
                </c:pt>
                <c:pt idx="1">
                  <c:v>2</c:v>
                </c:pt>
                <c:pt idx="2">
                  <c:v>2.5</c:v>
                </c:pt>
                <c:pt idx="3">
                  <c:v>3</c:v>
                </c:pt>
                <c:pt idx="4">
                  <c:v>3.5</c:v>
                </c:pt>
              </c:numCache>
            </c:numRef>
          </c:xVal>
          <c:yVal>
            <c:numRef>
              <c:f>'SUELOS GRANULARES'!$L$71:$L$75</c:f>
              <c:numCache>
                <c:formatCode>0.000</c:formatCode>
                <c:ptCount val="5"/>
                <c:pt idx="0">
                  <c:v>0.53759999999999997</c:v>
                </c:pt>
                <c:pt idx="1">
                  <c:v>0.48138999999999993</c:v>
                </c:pt>
                <c:pt idx="2">
                  <c:v>0.44957695999999986</c:v>
                </c:pt>
                <c:pt idx="3">
                  <c:v>0.46215794871794863</c:v>
                </c:pt>
                <c:pt idx="4">
                  <c:v>0.49791477551020402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4E1-4F3F-B332-E13ED7108C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80411599"/>
        <c:axId val="1"/>
      </c:scatterChart>
      <c:valAx>
        <c:axId val="80411599"/>
        <c:scaling>
          <c:orientation val="minMax"/>
          <c:min val="0.5"/>
        </c:scaling>
        <c:delete val="0"/>
        <c:axPos val="b"/>
        <c:title>
          <c:tx>
            <c:rich>
              <a:bodyPr/>
              <a:lstStyle/>
              <a:p>
                <a:pPr>
                  <a:defRPr sz="850" b="1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ES"/>
                  <a:t>Ancho de cimentación (m)</a:t>
                </a:r>
              </a:p>
            </c:rich>
          </c:tx>
          <c:layout>
            <c:manualLayout>
              <c:xMode val="edge"/>
              <c:yMode val="edge"/>
              <c:x val="0.39387797953827197"/>
              <c:y val="0.91987480946325006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1"/>
        <c:crosses val="autoZero"/>
        <c:crossBetween val="midCat"/>
      </c:valAx>
      <c:valAx>
        <c:axId val="1"/>
        <c:scaling>
          <c:orientation val="minMax"/>
        </c:scaling>
        <c:delete val="0"/>
        <c:axPos val="l"/>
        <c:majorGridlines>
          <c:spPr>
            <a:ln w="3175">
              <a:solidFill>
                <a:srgbClr val="00000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ptos Narrow"/>
                    <a:ea typeface="Aptos Narrow"/>
                    <a:cs typeface="Aptos Narrow"/>
                  </a:defRPr>
                </a:pP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q</a:t>
                </a:r>
                <a:r>
                  <a:rPr lang="es-ES" sz="850" b="1" i="0" u="none" strike="noStrike" baseline="-25000">
                    <a:solidFill>
                      <a:srgbClr val="000000"/>
                    </a:solidFill>
                    <a:latin typeface="Arial"/>
                    <a:cs typeface="Arial"/>
                  </a:rPr>
                  <a:t>d</a:t>
                </a:r>
                <a:r>
                  <a:rPr lang="es-ES" sz="850" b="1" i="0" u="none" strike="noStrike" baseline="0">
                    <a:solidFill>
                      <a:srgbClr val="000000"/>
                    </a:solidFill>
                    <a:latin typeface="Arial"/>
                    <a:cs typeface="Arial"/>
                  </a:rPr>
                  <a:t> (MPa)</a:t>
                </a:r>
              </a:p>
            </c:rich>
          </c:tx>
          <c:layout>
            <c:manualLayout>
              <c:xMode val="edge"/>
              <c:yMode val="edge"/>
              <c:x val="2.8571428571428571E-2"/>
              <c:y val="0.43910382336228593"/>
            </c:manualLayout>
          </c:layout>
          <c:overlay val="0"/>
          <c:spPr>
            <a:noFill/>
            <a:ln w="25400">
              <a:noFill/>
            </a:ln>
          </c:spPr>
        </c:title>
        <c:numFmt formatCode="0.00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ES"/>
          </a:p>
        </c:txPr>
        <c:crossAx val="80411599"/>
        <c:crosses val="autoZero"/>
        <c:crossBetween val="midCat"/>
      </c:valAx>
      <c:spPr>
        <a:noFill/>
        <a:ln w="3175">
          <a:solidFill>
            <a:srgbClr val="000000"/>
          </a:solidFill>
          <a:prstDash val="solid"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8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ES"/>
    </a:p>
  </c:txPr>
  <c:printSettings>
    <c:headerFooter alignWithMargins="0"/>
    <c:pageMargins b="1" l="0.75" r="0.75" t="1" header="0" footer="0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.xml"/><Relationship Id="rId2" Type="http://schemas.openxmlformats.org/officeDocument/2006/relationships/chart" Target="../charts/chart1.xml"/><Relationship Id="rId1" Type="http://schemas.openxmlformats.org/officeDocument/2006/relationships/image" Target="../media/image3.jpeg"/></Relationships>
</file>

<file path=xl/drawings/_rels/drawing2.xml.rels><?xml version="1.0" encoding="UTF-8" standalone="yes"?>
<Relationships xmlns="http://schemas.openxmlformats.org/package/2006/relationships"><Relationship Id="rId8" Type="http://schemas.openxmlformats.org/officeDocument/2006/relationships/image" Target="../media/image7.emf"/><Relationship Id="rId13" Type="http://schemas.openxmlformats.org/officeDocument/2006/relationships/chart" Target="../charts/chart6.xml"/><Relationship Id="rId3" Type="http://schemas.openxmlformats.org/officeDocument/2006/relationships/chart" Target="../charts/chart4.xml"/><Relationship Id="rId7" Type="http://schemas.openxmlformats.org/officeDocument/2006/relationships/image" Target="../media/image6.emf"/><Relationship Id="rId12" Type="http://schemas.openxmlformats.org/officeDocument/2006/relationships/image" Target="../media/image11.emf"/><Relationship Id="rId2" Type="http://schemas.openxmlformats.org/officeDocument/2006/relationships/chart" Target="../charts/chart3.xml"/><Relationship Id="rId1" Type="http://schemas.openxmlformats.org/officeDocument/2006/relationships/image" Target="../media/image3.jpeg"/><Relationship Id="rId6" Type="http://schemas.openxmlformats.org/officeDocument/2006/relationships/image" Target="../media/image5.emf"/><Relationship Id="rId11" Type="http://schemas.openxmlformats.org/officeDocument/2006/relationships/image" Target="../media/image10.emf"/><Relationship Id="rId5" Type="http://schemas.openxmlformats.org/officeDocument/2006/relationships/image" Target="../media/image4.emf"/><Relationship Id="rId10" Type="http://schemas.openxmlformats.org/officeDocument/2006/relationships/image" Target="../media/image9.emf"/><Relationship Id="rId4" Type="http://schemas.openxmlformats.org/officeDocument/2006/relationships/chart" Target="../charts/chart5.xml"/><Relationship Id="rId9" Type="http://schemas.openxmlformats.org/officeDocument/2006/relationships/image" Target="../media/image8.emf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chart" Target="../charts/chart7.xml"/><Relationship Id="rId1" Type="http://schemas.openxmlformats.org/officeDocument/2006/relationships/image" Target="../media/image3.jpe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2.emf"/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504825</xdr:colOff>
      <xdr:row>0</xdr:row>
      <xdr:rowOff>142875</xdr:rowOff>
    </xdr:from>
    <xdr:to>
      <xdr:col>10</xdr:col>
      <xdr:colOff>361950</xdr:colOff>
      <xdr:row>2</xdr:row>
      <xdr:rowOff>85725</xdr:rowOff>
    </xdr:to>
    <xdr:pic>
      <xdr:nvPicPr>
        <xdr:cNvPr id="35916" name="Picture 7" descr="image008">
          <a:extLst>
            <a:ext uri="{FF2B5EF4-FFF2-40B4-BE49-F238E27FC236}">
              <a16:creationId xmlns:a16="http://schemas.microsoft.com/office/drawing/2014/main" id="{00000000-0008-0000-0000-00004C8C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515225" y="142875"/>
          <a:ext cx="160972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0</xdr:col>
      <xdr:colOff>152400</xdr:colOff>
      <xdr:row>44</xdr:row>
      <xdr:rowOff>0</xdr:rowOff>
    </xdr:from>
    <xdr:to>
      <xdr:col>5</xdr:col>
      <xdr:colOff>561975</xdr:colOff>
      <xdr:row>44</xdr:row>
      <xdr:rowOff>0</xdr:rowOff>
    </xdr:to>
    <xdr:graphicFrame macro="">
      <xdr:nvGraphicFramePr>
        <xdr:cNvPr id="35917" name="Chart 9">
          <a:extLst>
            <a:ext uri="{FF2B5EF4-FFF2-40B4-BE49-F238E27FC236}">
              <a16:creationId xmlns:a16="http://schemas.microsoft.com/office/drawing/2014/main" id="{00000000-0008-0000-0000-00004D8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561975</xdr:colOff>
      <xdr:row>67</xdr:row>
      <xdr:rowOff>104775</xdr:rowOff>
    </xdr:from>
    <xdr:to>
      <xdr:col>9</xdr:col>
      <xdr:colOff>838200</xdr:colOff>
      <xdr:row>81</xdr:row>
      <xdr:rowOff>123825</xdr:rowOff>
    </xdr:to>
    <xdr:graphicFrame macro="">
      <xdr:nvGraphicFramePr>
        <xdr:cNvPr id="35918" name="Chart 15">
          <a:extLst>
            <a:ext uri="{FF2B5EF4-FFF2-40B4-BE49-F238E27FC236}">
              <a16:creationId xmlns:a16="http://schemas.microsoft.com/office/drawing/2014/main" id="{00000000-0008-0000-0000-00004E8C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723900</xdr:colOff>
          <xdr:row>51</xdr:row>
          <xdr:rowOff>127000</xdr:rowOff>
        </xdr:from>
        <xdr:to>
          <xdr:col>5</xdr:col>
          <xdr:colOff>660400</xdr:colOff>
          <xdr:row>53</xdr:row>
          <xdr:rowOff>38100</xdr:rowOff>
        </xdr:to>
        <xdr:sp macro="" textlink="">
          <xdr:nvSpPr>
            <xdr:cNvPr id="35852" name="Object 12" hidden="1">
              <a:extLst>
                <a:ext uri="{63B3BB69-23CF-44E3-9099-C40C66FF867C}">
                  <a14:compatExt spid="_x0000_s35852"/>
                </a:ext>
                <a:ext uri="{FF2B5EF4-FFF2-40B4-BE49-F238E27FC236}">
                  <a16:creationId xmlns:a16="http://schemas.microsoft.com/office/drawing/2014/main" id="{00000000-0008-0000-0000-00000C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457200</xdr:colOff>
          <xdr:row>54</xdr:row>
          <xdr:rowOff>12700</xdr:rowOff>
        </xdr:from>
        <xdr:to>
          <xdr:col>6</xdr:col>
          <xdr:colOff>88900</xdr:colOff>
          <xdr:row>59</xdr:row>
          <xdr:rowOff>25400</xdr:rowOff>
        </xdr:to>
        <xdr:sp macro="" textlink="">
          <xdr:nvSpPr>
            <xdr:cNvPr id="35853" name="Object 13" hidden="1">
              <a:extLst>
                <a:ext uri="{63B3BB69-23CF-44E3-9099-C40C66FF867C}">
                  <a14:compatExt spid="_x0000_s35853"/>
                </a:ext>
                <a:ext uri="{FF2B5EF4-FFF2-40B4-BE49-F238E27FC236}">
                  <a16:creationId xmlns:a16="http://schemas.microsoft.com/office/drawing/2014/main" id="{00000000-0008-0000-0000-00000D8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695325</xdr:colOff>
      <xdr:row>0</xdr:row>
      <xdr:rowOff>133350</xdr:rowOff>
    </xdr:from>
    <xdr:to>
      <xdr:col>11</xdr:col>
      <xdr:colOff>561975</xdr:colOff>
      <xdr:row>2</xdr:row>
      <xdr:rowOff>66675</xdr:rowOff>
    </xdr:to>
    <xdr:pic>
      <xdr:nvPicPr>
        <xdr:cNvPr id="43354" name="Picture 1" descr="image008">
          <a:extLst>
            <a:ext uri="{FF2B5EF4-FFF2-40B4-BE49-F238E27FC236}">
              <a16:creationId xmlns:a16="http://schemas.microsoft.com/office/drawing/2014/main" id="{00000000-0008-0000-0100-00005A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020050" y="133350"/>
          <a:ext cx="1619250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6</xdr:col>
      <xdr:colOff>723900</xdr:colOff>
      <xdr:row>80</xdr:row>
      <xdr:rowOff>104775</xdr:rowOff>
    </xdr:from>
    <xdr:to>
      <xdr:col>11</xdr:col>
      <xdr:colOff>495300</xdr:colOff>
      <xdr:row>95</xdr:row>
      <xdr:rowOff>114300</xdr:rowOff>
    </xdr:to>
    <xdr:graphicFrame macro="">
      <xdr:nvGraphicFramePr>
        <xdr:cNvPr id="43355" name="Chart 5">
          <a:extLst>
            <a:ext uri="{FF2B5EF4-FFF2-40B4-BE49-F238E27FC236}">
              <a16:creationId xmlns:a16="http://schemas.microsoft.com/office/drawing/2014/main" id="{00000000-0008-0000-0100-00005B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24</xdr:col>
      <xdr:colOff>695325</xdr:colOff>
      <xdr:row>0</xdr:row>
      <xdr:rowOff>133350</xdr:rowOff>
    </xdr:from>
    <xdr:to>
      <xdr:col>26</xdr:col>
      <xdr:colOff>571500</xdr:colOff>
      <xdr:row>2</xdr:row>
      <xdr:rowOff>66675</xdr:rowOff>
    </xdr:to>
    <xdr:pic>
      <xdr:nvPicPr>
        <xdr:cNvPr id="43356" name="Picture 26" descr="image008">
          <a:extLst>
            <a:ext uri="{FF2B5EF4-FFF2-40B4-BE49-F238E27FC236}">
              <a16:creationId xmlns:a16="http://schemas.microsoft.com/office/drawing/2014/main" id="{00000000-0008-0000-0100-00005C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9812000" y="133350"/>
          <a:ext cx="1628775" cy="4095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22</xdr:col>
      <xdr:colOff>200025</xdr:colOff>
      <xdr:row>45</xdr:row>
      <xdr:rowOff>66675</xdr:rowOff>
    </xdr:from>
    <xdr:to>
      <xdr:col>26</xdr:col>
      <xdr:colOff>857250</xdr:colOff>
      <xdr:row>57</xdr:row>
      <xdr:rowOff>123825</xdr:rowOff>
    </xdr:to>
    <xdr:graphicFrame macro="">
      <xdr:nvGraphicFramePr>
        <xdr:cNvPr id="43357" name="Chart 28">
          <a:extLst>
            <a:ext uri="{FF2B5EF4-FFF2-40B4-BE49-F238E27FC236}">
              <a16:creationId xmlns:a16="http://schemas.microsoft.com/office/drawing/2014/main" id="{00000000-0008-0000-0100-00005D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21</xdr:col>
      <xdr:colOff>514350</xdr:colOff>
      <xdr:row>70</xdr:row>
      <xdr:rowOff>104775</xdr:rowOff>
    </xdr:from>
    <xdr:to>
      <xdr:col>26</xdr:col>
      <xdr:colOff>809625</xdr:colOff>
      <xdr:row>84</xdr:row>
      <xdr:rowOff>190500</xdr:rowOff>
    </xdr:to>
    <xdr:graphicFrame macro="">
      <xdr:nvGraphicFramePr>
        <xdr:cNvPr id="43358" name="Chart 39">
          <a:extLst>
            <a:ext uri="{FF2B5EF4-FFF2-40B4-BE49-F238E27FC236}">
              <a16:creationId xmlns:a16="http://schemas.microsoft.com/office/drawing/2014/main" id="{00000000-0008-0000-0100-00005E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16</xdr:col>
      <xdr:colOff>819150</xdr:colOff>
      <xdr:row>13</xdr:row>
      <xdr:rowOff>95250</xdr:rowOff>
    </xdr:from>
    <xdr:to>
      <xdr:col>22</xdr:col>
      <xdr:colOff>314325</xdr:colOff>
      <xdr:row>26</xdr:row>
      <xdr:rowOff>142875</xdr:rowOff>
    </xdr:to>
    <xdr:pic>
      <xdr:nvPicPr>
        <xdr:cNvPr id="43359" name="Picture 40">
          <a:extLst>
            <a:ext uri="{FF2B5EF4-FFF2-40B4-BE49-F238E27FC236}">
              <a16:creationId xmlns:a16="http://schemas.microsoft.com/office/drawing/2014/main" id="{00000000-0008-0000-0100-00005F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5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925425" y="2571750"/>
          <a:ext cx="4752975" cy="234315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17</xdr:col>
      <xdr:colOff>66675</xdr:colOff>
      <xdr:row>28</xdr:row>
      <xdr:rowOff>57150</xdr:rowOff>
    </xdr:from>
    <xdr:to>
      <xdr:col>19</xdr:col>
      <xdr:colOff>561975</xdr:colOff>
      <xdr:row>30</xdr:row>
      <xdr:rowOff>152400</xdr:rowOff>
    </xdr:to>
    <xdr:pic>
      <xdr:nvPicPr>
        <xdr:cNvPr id="43360" name="Picture 41">
          <a:extLst>
            <a:ext uri="{FF2B5EF4-FFF2-40B4-BE49-F238E27FC236}">
              <a16:creationId xmlns:a16="http://schemas.microsoft.com/office/drawing/2014/main" id="{00000000-0008-0000-0100-000060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049250" y="5191125"/>
          <a:ext cx="2247900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20</xdr:col>
      <xdr:colOff>66675</xdr:colOff>
      <xdr:row>28</xdr:row>
      <xdr:rowOff>104775</xdr:rowOff>
    </xdr:from>
    <xdr:to>
      <xdr:col>22</xdr:col>
      <xdr:colOff>400050</xdr:colOff>
      <xdr:row>30</xdr:row>
      <xdr:rowOff>47625</xdr:rowOff>
    </xdr:to>
    <xdr:pic>
      <xdr:nvPicPr>
        <xdr:cNvPr id="43361" name="Picture 42">
          <a:extLst>
            <a:ext uri="{FF2B5EF4-FFF2-40B4-BE49-F238E27FC236}">
              <a16:creationId xmlns:a16="http://schemas.microsoft.com/office/drawing/2014/main" id="{00000000-0008-0000-0100-000061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7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78150" y="5238750"/>
          <a:ext cx="2085975" cy="3048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23</xdr:col>
      <xdr:colOff>66675</xdr:colOff>
      <xdr:row>15</xdr:row>
      <xdr:rowOff>85725</xdr:rowOff>
    </xdr:from>
    <xdr:to>
      <xdr:col>26</xdr:col>
      <xdr:colOff>571500</xdr:colOff>
      <xdr:row>29</xdr:row>
      <xdr:rowOff>142875</xdr:rowOff>
    </xdr:to>
    <xdr:pic>
      <xdr:nvPicPr>
        <xdr:cNvPr id="43362" name="Picture 43">
          <a:extLst>
            <a:ext uri="{FF2B5EF4-FFF2-40B4-BE49-F238E27FC236}">
              <a16:creationId xmlns:a16="http://schemas.microsoft.com/office/drawing/2014/main" id="{00000000-0008-0000-0100-000062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886075"/>
          <a:ext cx="3133725" cy="25527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3</xdr:col>
      <xdr:colOff>419100</xdr:colOff>
      <xdr:row>14</xdr:row>
      <xdr:rowOff>0</xdr:rowOff>
    </xdr:from>
    <xdr:to>
      <xdr:col>9</xdr:col>
      <xdr:colOff>219075</xdr:colOff>
      <xdr:row>16</xdr:row>
      <xdr:rowOff>104775</xdr:rowOff>
    </xdr:to>
    <xdr:pic>
      <xdr:nvPicPr>
        <xdr:cNvPr id="43363" name="Picture 47">
          <a:extLst>
            <a:ext uri="{FF2B5EF4-FFF2-40B4-BE49-F238E27FC236}">
              <a16:creationId xmlns:a16="http://schemas.microsoft.com/office/drawing/2014/main" id="{00000000-0008-0000-0100-000063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486025" y="2638425"/>
          <a:ext cx="5057775" cy="4857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6</xdr:col>
      <xdr:colOff>152400</xdr:colOff>
      <xdr:row>74</xdr:row>
      <xdr:rowOff>47625</xdr:rowOff>
    </xdr:from>
    <xdr:to>
      <xdr:col>9</xdr:col>
      <xdr:colOff>695325</xdr:colOff>
      <xdr:row>76</xdr:row>
      <xdr:rowOff>161925</xdr:rowOff>
    </xdr:to>
    <xdr:pic>
      <xdr:nvPicPr>
        <xdr:cNvPr id="43364" name="Picture 53">
          <a:extLst>
            <a:ext uri="{FF2B5EF4-FFF2-40B4-BE49-F238E27FC236}">
              <a16:creationId xmlns:a16="http://schemas.microsoft.com/office/drawing/2014/main" id="{00000000-0008-0000-0100-000064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4848225" y="13258800"/>
          <a:ext cx="3171825" cy="4572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838200</xdr:colOff>
      <xdr:row>74</xdr:row>
      <xdr:rowOff>19050</xdr:rowOff>
    </xdr:from>
    <xdr:to>
      <xdr:col>11</xdr:col>
      <xdr:colOff>819150</xdr:colOff>
      <xdr:row>75</xdr:row>
      <xdr:rowOff>104775</xdr:rowOff>
    </xdr:to>
    <xdr:pic>
      <xdr:nvPicPr>
        <xdr:cNvPr id="43365" name="Picture 54">
          <a:extLst>
            <a:ext uri="{FF2B5EF4-FFF2-40B4-BE49-F238E27FC236}">
              <a16:creationId xmlns:a16="http://schemas.microsoft.com/office/drawing/2014/main" id="{00000000-0008-0000-0100-000065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62925" y="13230225"/>
          <a:ext cx="1733550" cy="25717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 editAs="oneCell">
    <xdr:from>
      <xdr:col>9</xdr:col>
      <xdr:colOff>847725</xdr:colOff>
      <xdr:row>75</xdr:row>
      <xdr:rowOff>85725</xdr:rowOff>
    </xdr:from>
    <xdr:to>
      <xdr:col>11</xdr:col>
      <xdr:colOff>657225</xdr:colOff>
      <xdr:row>76</xdr:row>
      <xdr:rowOff>152400</xdr:rowOff>
    </xdr:to>
    <xdr:pic>
      <xdr:nvPicPr>
        <xdr:cNvPr id="43366" name="Picture 55">
          <a:extLst>
            <a:ext uri="{FF2B5EF4-FFF2-40B4-BE49-F238E27FC236}">
              <a16:creationId xmlns:a16="http://schemas.microsoft.com/office/drawing/2014/main" id="{00000000-0008-0000-0100-000066A9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172450" y="13468350"/>
          <a:ext cx="1562100" cy="2381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15</xdr:col>
      <xdr:colOff>295275</xdr:colOff>
      <xdr:row>70</xdr:row>
      <xdr:rowOff>85725</xdr:rowOff>
    </xdr:from>
    <xdr:to>
      <xdr:col>21</xdr:col>
      <xdr:colOff>257175</xdr:colOff>
      <xdr:row>84</xdr:row>
      <xdr:rowOff>200025</xdr:rowOff>
    </xdr:to>
    <xdr:graphicFrame macro="">
      <xdr:nvGraphicFramePr>
        <xdr:cNvPr id="43367" name="Chart 56">
          <a:extLst>
            <a:ext uri="{FF2B5EF4-FFF2-40B4-BE49-F238E27FC236}">
              <a16:creationId xmlns:a16="http://schemas.microsoft.com/office/drawing/2014/main" id="{00000000-0008-0000-0100-000067A9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19</xdr:col>
          <xdr:colOff>254000</xdr:colOff>
          <xdr:row>45</xdr:row>
          <xdr:rowOff>38100</xdr:rowOff>
        </xdr:from>
        <xdr:to>
          <xdr:col>20</xdr:col>
          <xdr:colOff>774700</xdr:colOff>
          <xdr:row>47</xdr:row>
          <xdr:rowOff>63500</xdr:rowOff>
        </xdr:to>
        <xdr:sp macro="" textlink="">
          <xdr:nvSpPr>
            <xdr:cNvPr id="43046" name="CommandButton1" hidden="1">
              <a:extLst>
                <a:ext uri="{63B3BB69-23CF-44E3-9099-C40C66FF867C}">
                  <a14:compatExt spid="_x0000_s43046"/>
                </a:ext>
                <a:ext uri="{FF2B5EF4-FFF2-40B4-BE49-F238E27FC236}">
                  <a16:creationId xmlns:a16="http://schemas.microsoft.com/office/drawing/2014/main" id="{00000000-0008-0000-0100-000026A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13</xdr:col>
      <xdr:colOff>314325</xdr:colOff>
      <xdr:row>0</xdr:row>
      <xdr:rowOff>180975</xdr:rowOff>
    </xdr:from>
    <xdr:to>
      <xdr:col>15</xdr:col>
      <xdr:colOff>438150</xdr:colOff>
      <xdr:row>2</xdr:row>
      <xdr:rowOff>123825</xdr:rowOff>
    </xdr:to>
    <xdr:pic>
      <xdr:nvPicPr>
        <xdr:cNvPr id="46304" name="Picture 1" descr="image008">
          <a:extLst>
            <a:ext uri="{FF2B5EF4-FFF2-40B4-BE49-F238E27FC236}">
              <a16:creationId xmlns:a16="http://schemas.microsoft.com/office/drawing/2014/main" id="{00000000-0008-0000-0200-0000E0B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05825" y="180975"/>
          <a:ext cx="1628775" cy="4191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4</xdr:col>
      <xdr:colOff>228600</xdr:colOff>
      <xdr:row>77</xdr:row>
      <xdr:rowOff>57150</xdr:rowOff>
    </xdr:from>
    <xdr:to>
      <xdr:col>11</xdr:col>
      <xdr:colOff>495300</xdr:colOff>
      <xdr:row>95</xdr:row>
      <xdr:rowOff>0</xdr:rowOff>
    </xdr:to>
    <xdr:graphicFrame macro="">
      <xdr:nvGraphicFramePr>
        <xdr:cNvPr id="46305" name="Chart 8">
          <a:extLst>
            <a:ext uri="{FF2B5EF4-FFF2-40B4-BE49-F238E27FC236}">
              <a16:creationId xmlns:a16="http://schemas.microsoft.com/office/drawing/2014/main" id="{00000000-0008-0000-0200-0000E1B4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714375</xdr:colOff>
      <xdr:row>14</xdr:row>
      <xdr:rowOff>47625</xdr:rowOff>
    </xdr:from>
    <xdr:to>
      <xdr:col>5</xdr:col>
      <xdr:colOff>533400</xdr:colOff>
      <xdr:row>22</xdr:row>
      <xdr:rowOff>133350</xdr:rowOff>
    </xdr:to>
    <xdr:pic>
      <xdr:nvPicPr>
        <xdr:cNvPr id="46306" name="Picture 9">
          <a:extLst>
            <a:ext uri="{FF2B5EF4-FFF2-40B4-BE49-F238E27FC236}">
              <a16:creationId xmlns:a16="http://schemas.microsoft.com/office/drawing/2014/main" id="{00000000-0008-0000-0200-0000E2B4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714375" y="2657475"/>
          <a:ext cx="2981325" cy="14573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8.bin"/><Relationship Id="rId13" Type="http://schemas.openxmlformats.org/officeDocument/2006/relationships/oleObject" Target="../embeddings/oleObject1.bin"/><Relationship Id="rId3" Type="http://schemas.openxmlformats.org/officeDocument/2006/relationships/printerSettings" Target="../printerSettings/printerSettings3.bin"/><Relationship Id="rId7" Type="http://schemas.openxmlformats.org/officeDocument/2006/relationships/printerSettings" Target="../printerSettings/printerSettings7.bin"/><Relationship Id="rId12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6" Type="http://schemas.openxmlformats.org/officeDocument/2006/relationships/image" Target="../media/image2.emf"/><Relationship Id="rId1" Type="http://schemas.openxmlformats.org/officeDocument/2006/relationships/printerSettings" Target="../printerSettings/printerSettings1.bin"/><Relationship Id="rId6" Type="http://schemas.openxmlformats.org/officeDocument/2006/relationships/printerSettings" Target="../printerSettings/printerSettings6.bin"/><Relationship Id="rId11" Type="http://schemas.openxmlformats.org/officeDocument/2006/relationships/drawing" Target="../drawings/drawing1.xml"/><Relationship Id="rId5" Type="http://schemas.openxmlformats.org/officeDocument/2006/relationships/printerSettings" Target="../printerSettings/printerSettings5.bin"/><Relationship Id="rId15" Type="http://schemas.openxmlformats.org/officeDocument/2006/relationships/oleObject" Target="../embeddings/oleObject2.bin"/><Relationship Id="rId10" Type="http://schemas.openxmlformats.org/officeDocument/2006/relationships/printerSettings" Target="../printerSettings/printerSettings10.bin"/><Relationship Id="rId4" Type="http://schemas.openxmlformats.org/officeDocument/2006/relationships/printerSettings" Target="../printerSettings/printerSettings4.bin"/><Relationship Id="rId9" Type="http://schemas.openxmlformats.org/officeDocument/2006/relationships/printerSettings" Target="../printerSettings/printerSettings9.bin"/><Relationship Id="rId14" Type="http://schemas.openxmlformats.org/officeDocument/2006/relationships/image" Target="../media/image1.emf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8.bin"/><Relationship Id="rId3" Type="http://schemas.openxmlformats.org/officeDocument/2006/relationships/printerSettings" Target="../printerSettings/printerSettings13.bin"/><Relationship Id="rId7" Type="http://schemas.openxmlformats.org/officeDocument/2006/relationships/printerSettings" Target="../printerSettings/printerSettings17.bin"/><Relationship Id="rId12" Type="http://schemas.openxmlformats.org/officeDocument/2006/relationships/vmlDrawing" Target="../drawings/vmlDrawing2.vml"/><Relationship Id="rId2" Type="http://schemas.openxmlformats.org/officeDocument/2006/relationships/printerSettings" Target="../printerSettings/printerSettings12.bin"/><Relationship Id="rId1" Type="http://schemas.openxmlformats.org/officeDocument/2006/relationships/printerSettings" Target="../printerSettings/printerSettings11.bin"/><Relationship Id="rId6" Type="http://schemas.openxmlformats.org/officeDocument/2006/relationships/printerSettings" Target="../printerSettings/printerSettings16.bin"/><Relationship Id="rId11" Type="http://schemas.openxmlformats.org/officeDocument/2006/relationships/drawing" Target="../drawings/drawing2.xml"/><Relationship Id="rId5" Type="http://schemas.openxmlformats.org/officeDocument/2006/relationships/printerSettings" Target="../printerSettings/printerSettings15.bin"/><Relationship Id="rId10" Type="http://schemas.openxmlformats.org/officeDocument/2006/relationships/printerSettings" Target="../printerSettings/printerSettings20.bin"/><Relationship Id="rId4" Type="http://schemas.openxmlformats.org/officeDocument/2006/relationships/printerSettings" Target="../printerSettings/printerSettings14.bin"/><Relationship Id="rId9" Type="http://schemas.openxmlformats.org/officeDocument/2006/relationships/printerSettings" Target="../printerSettings/printerSettings19.bin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28.bin"/><Relationship Id="rId3" Type="http://schemas.openxmlformats.org/officeDocument/2006/relationships/printerSettings" Target="../printerSettings/printerSettings23.bin"/><Relationship Id="rId7" Type="http://schemas.openxmlformats.org/officeDocument/2006/relationships/printerSettings" Target="../printerSettings/printerSettings27.bin"/><Relationship Id="rId2" Type="http://schemas.openxmlformats.org/officeDocument/2006/relationships/printerSettings" Target="../printerSettings/printerSettings22.bin"/><Relationship Id="rId1" Type="http://schemas.openxmlformats.org/officeDocument/2006/relationships/printerSettings" Target="../printerSettings/printerSettings21.bin"/><Relationship Id="rId6" Type="http://schemas.openxmlformats.org/officeDocument/2006/relationships/printerSettings" Target="../printerSettings/printerSettings26.bin"/><Relationship Id="rId11" Type="http://schemas.openxmlformats.org/officeDocument/2006/relationships/drawing" Target="../drawings/drawing3.xml"/><Relationship Id="rId5" Type="http://schemas.openxmlformats.org/officeDocument/2006/relationships/printerSettings" Target="../printerSettings/printerSettings25.bin"/><Relationship Id="rId10" Type="http://schemas.openxmlformats.org/officeDocument/2006/relationships/printerSettings" Target="../printerSettings/printerSettings30.bin"/><Relationship Id="rId4" Type="http://schemas.openxmlformats.org/officeDocument/2006/relationships/printerSettings" Target="../printerSettings/printerSettings24.bin"/><Relationship Id="rId9" Type="http://schemas.openxmlformats.org/officeDocument/2006/relationships/printerSettings" Target="../printerSettings/printerSettings29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EEAA16-D9AD-4A48-98A8-B2C65703A996}">
  <sheetPr codeName="Hoja1">
    <pageSetUpPr fitToPage="1"/>
  </sheetPr>
  <dimension ref="A1:P84"/>
  <sheetViews>
    <sheetView showGridLines="0" tabSelected="1" view="pageBreakPreview" topLeftCell="A20" zoomScaleNormal="85" workbookViewId="0">
      <selection activeCell="D15" sqref="D15"/>
    </sheetView>
  </sheetViews>
  <sheetFormatPr baseColWidth="10" defaultRowHeight="13" x14ac:dyDescent="0.15"/>
  <cols>
    <col min="1" max="11" width="13.1640625" customWidth="1"/>
  </cols>
  <sheetData>
    <row r="1" spans="1:16" ht="18.75" customHeight="1" x14ac:dyDescent="0.15">
      <c r="A1" s="1"/>
      <c r="B1" s="2"/>
      <c r="C1" s="2"/>
      <c r="D1" s="2"/>
      <c r="E1" s="2"/>
      <c r="F1" s="2"/>
      <c r="G1" s="2"/>
      <c r="H1" s="3"/>
      <c r="I1" s="1"/>
      <c r="J1" s="2"/>
      <c r="K1" s="3"/>
      <c r="L1" s="2"/>
      <c r="M1" s="2"/>
    </row>
    <row r="2" spans="1:16" ht="18.75" customHeight="1" x14ac:dyDescent="0.2">
      <c r="A2" s="22" t="s">
        <v>30</v>
      </c>
      <c r="B2" s="7"/>
      <c r="C2" s="7"/>
      <c r="D2" s="7"/>
      <c r="E2" s="7"/>
      <c r="F2" s="7"/>
      <c r="G2" s="7"/>
      <c r="H2" s="18"/>
      <c r="I2" s="4"/>
      <c r="K2" s="8"/>
      <c r="P2" t="s">
        <v>71</v>
      </c>
    </row>
    <row r="3" spans="1:16" ht="18.75" customHeight="1" thickBot="1" x14ac:dyDescent="0.2">
      <c r="A3" s="5"/>
      <c r="B3" s="6"/>
      <c r="C3" s="6"/>
      <c r="D3" s="6"/>
      <c r="E3" s="6"/>
      <c r="F3" s="6"/>
      <c r="G3" s="6"/>
      <c r="H3" s="9"/>
      <c r="I3" s="5"/>
      <c r="J3" s="6"/>
      <c r="K3" s="9"/>
      <c r="P3" t="s">
        <v>68</v>
      </c>
    </row>
    <row r="4" spans="1:16" ht="18.75" customHeight="1" thickBot="1" x14ac:dyDescent="0.2">
      <c r="A4" s="32"/>
      <c r="B4" s="32"/>
      <c r="C4" s="32"/>
      <c r="D4" s="32"/>
      <c r="E4" s="32"/>
      <c r="F4" s="32"/>
      <c r="G4" s="32"/>
      <c r="H4" s="32"/>
      <c r="I4" s="32"/>
      <c r="J4" s="32"/>
      <c r="K4" s="32"/>
      <c r="P4" t="s">
        <v>72</v>
      </c>
    </row>
    <row r="5" spans="1:16" x14ac:dyDescent="0.15">
      <c r="A5" s="1"/>
      <c r="B5" s="2"/>
      <c r="C5" s="2"/>
      <c r="D5" s="2"/>
      <c r="E5" s="2"/>
      <c r="F5" s="2"/>
      <c r="G5" s="2"/>
      <c r="H5" s="2"/>
      <c r="I5" s="2"/>
      <c r="J5" s="2"/>
      <c r="K5" s="3"/>
    </row>
    <row r="6" spans="1:16" x14ac:dyDescent="0.15">
      <c r="A6" s="4"/>
      <c r="B6" s="10" t="s">
        <v>215</v>
      </c>
      <c r="C6" s="251" t="s">
        <v>4</v>
      </c>
      <c r="E6" s="10"/>
      <c r="F6" s="10"/>
      <c r="G6" s="10"/>
      <c r="H6" s="10"/>
      <c r="K6" s="8"/>
    </row>
    <row r="7" spans="1:16" x14ac:dyDescent="0.15">
      <c r="A7" s="4"/>
      <c r="B7" s="10" t="s">
        <v>216</v>
      </c>
      <c r="C7" s="251" t="s">
        <v>5</v>
      </c>
      <c r="E7" s="10"/>
      <c r="F7" s="10"/>
      <c r="G7" s="10"/>
      <c r="H7" s="10"/>
      <c r="K7" s="8"/>
    </row>
    <row r="8" spans="1:16" x14ac:dyDescent="0.15">
      <c r="A8" s="4"/>
      <c r="B8" s="10" t="s">
        <v>2</v>
      </c>
      <c r="C8" s="251" t="s">
        <v>3</v>
      </c>
      <c r="E8" s="10"/>
      <c r="F8" s="10"/>
      <c r="G8" s="10"/>
      <c r="H8" s="10"/>
      <c r="K8" s="8"/>
    </row>
    <row r="9" spans="1:16" ht="14" thickBot="1" x14ac:dyDescent="0.2">
      <c r="A9" s="5"/>
      <c r="B9" s="6"/>
      <c r="C9" s="6"/>
      <c r="D9" s="6"/>
      <c r="E9" s="6"/>
      <c r="F9" s="6"/>
      <c r="G9" s="6"/>
      <c r="H9" s="6"/>
      <c r="I9" s="6"/>
      <c r="J9" s="6"/>
      <c r="K9" s="9"/>
    </row>
    <row r="10" spans="1:16" ht="14" thickBot="1" x14ac:dyDescent="0.2"/>
    <row r="11" spans="1:16" ht="14" thickBot="1" x14ac:dyDescent="0.2">
      <c r="A11" s="15" t="s">
        <v>77</v>
      </c>
      <c r="B11" s="16"/>
      <c r="C11" s="16"/>
      <c r="D11" s="16"/>
      <c r="E11" s="16"/>
      <c r="F11" s="16"/>
      <c r="G11" s="16"/>
      <c r="H11" s="16"/>
      <c r="I11" s="16"/>
      <c r="J11" s="16"/>
      <c r="K11" s="17"/>
      <c r="L11" s="37"/>
      <c r="M11" s="38"/>
      <c r="N11" s="38"/>
    </row>
    <row r="12" spans="1:16" ht="14" thickBot="1" x14ac:dyDescent="0.2"/>
    <row r="13" spans="1:16" x14ac:dyDescent="0.15">
      <c r="A13" s="14" t="s">
        <v>31</v>
      </c>
      <c r="B13" s="12"/>
      <c r="C13" s="11"/>
      <c r="D13" s="12"/>
      <c r="E13" s="12"/>
      <c r="F13" s="12"/>
      <c r="G13" s="11"/>
      <c r="H13" s="12"/>
      <c r="I13" s="11"/>
      <c r="J13" s="12"/>
      <c r="K13" s="13"/>
    </row>
    <row r="14" spans="1:16" x14ac:dyDescent="0.15">
      <c r="A14" s="4"/>
      <c r="K14" s="8"/>
    </row>
    <row r="15" spans="1:16" x14ac:dyDescent="0.15">
      <c r="A15" s="4"/>
      <c r="D15" s="28" t="s">
        <v>37</v>
      </c>
      <c r="K15" s="8"/>
    </row>
    <row r="16" spans="1:16" ht="15" x14ac:dyDescent="0.2">
      <c r="A16" s="4"/>
      <c r="D16" s="28" t="s">
        <v>41</v>
      </c>
      <c r="K16" s="8"/>
    </row>
    <row r="17" spans="1:14" x14ac:dyDescent="0.15">
      <c r="A17" s="4"/>
      <c r="D17" s="28" t="s">
        <v>76</v>
      </c>
      <c r="K17" s="8"/>
    </row>
    <row r="18" spans="1:14" ht="14" thickBot="1" x14ac:dyDescent="0.2">
      <c r="A18" s="4"/>
      <c r="E18" s="6"/>
      <c r="K18" s="8"/>
    </row>
    <row r="19" spans="1:14" ht="12.75" customHeight="1" thickBot="1" x14ac:dyDescent="0.2">
      <c r="A19" s="4"/>
      <c r="B19" s="27" t="s">
        <v>22</v>
      </c>
      <c r="C19" s="25"/>
      <c r="D19" s="25"/>
      <c r="E19" s="26"/>
      <c r="G19" s="31" t="s">
        <v>38</v>
      </c>
      <c r="H19" s="34"/>
      <c r="I19" s="34"/>
      <c r="J19" s="33"/>
      <c r="K19" s="8"/>
    </row>
    <row r="20" spans="1:14" ht="17.25" customHeight="1" x14ac:dyDescent="0.15">
      <c r="A20" s="4"/>
      <c r="B20" s="332" t="s">
        <v>32</v>
      </c>
      <c r="C20" s="333"/>
      <c r="D20" s="330" t="s">
        <v>33</v>
      </c>
      <c r="E20" s="353" t="s">
        <v>34</v>
      </c>
      <c r="G20" s="347" t="s">
        <v>21</v>
      </c>
      <c r="H20" s="348"/>
      <c r="I20" s="349"/>
      <c r="J20" s="52" t="s">
        <v>39</v>
      </c>
      <c r="K20" s="8"/>
    </row>
    <row r="21" spans="1:14" x14ac:dyDescent="0.15">
      <c r="A21" s="4"/>
      <c r="B21" s="334"/>
      <c r="C21" s="335"/>
      <c r="D21" s="331"/>
      <c r="E21" s="354"/>
      <c r="G21" s="350"/>
      <c r="H21" s="351"/>
      <c r="I21" s="352"/>
      <c r="J21" s="53" t="s">
        <v>0</v>
      </c>
      <c r="K21" s="8"/>
    </row>
    <row r="22" spans="1:14" x14ac:dyDescent="0.15">
      <c r="A22" s="4"/>
      <c r="B22" s="336"/>
      <c r="C22" s="337"/>
      <c r="D22" s="39" t="s">
        <v>0</v>
      </c>
      <c r="E22" s="40" t="s">
        <v>0</v>
      </c>
      <c r="G22" s="29" t="s">
        <v>23</v>
      </c>
      <c r="H22" s="50"/>
      <c r="I22" s="50"/>
      <c r="J22" s="23">
        <v>10</v>
      </c>
      <c r="K22" s="8"/>
    </row>
    <row r="23" spans="1:14" x14ac:dyDescent="0.15">
      <c r="A23" s="4"/>
      <c r="B23" s="41" t="s">
        <v>35</v>
      </c>
      <c r="C23" s="42"/>
      <c r="D23" s="43">
        <v>4</v>
      </c>
      <c r="E23" s="44">
        <v>1.5</v>
      </c>
      <c r="G23" s="29" t="s">
        <v>24</v>
      </c>
      <c r="H23" s="50"/>
      <c r="I23" s="50"/>
      <c r="J23" s="23">
        <v>4</v>
      </c>
      <c r="K23" s="8"/>
    </row>
    <row r="24" spans="1:14" ht="14" thickBot="1" x14ac:dyDescent="0.2">
      <c r="A24" s="4"/>
      <c r="B24" s="45" t="s">
        <v>36</v>
      </c>
      <c r="C24" s="46"/>
      <c r="D24" s="47">
        <v>2</v>
      </c>
      <c r="E24" s="48">
        <v>1</v>
      </c>
      <c r="G24" s="29" t="s">
        <v>25</v>
      </c>
      <c r="H24" s="50"/>
      <c r="I24" s="50"/>
      <c r="J24" s="23">
        <v>3</v>
      </c>
      <c r="K24" s="8"/>
    </row>
    <row r="25" spans="1:14" x14ac:dyDescent="0.15">
      <c r="A25" s="4"/>
      <c r="G25" s="29" t="s">
        <v>26</v>
      </c>
      <c r="H25" s="50"/>
      <c r="I25" s="50"/>
      <c r="J25" s="23">
        <v>2</v>
      </c>
      <c r="K25" s="8"/>
    </row>
    <row r="26" spans="1:14" ht="12.75" customHeight="1" x14ac:dyDescent="0.15">
      <c r="A26" s="4"/>
      <c r="G26" s="29" t="s">
        <v>27</v>
      </c>
      <c r="H26" s="50"/>
      <c r="I26" s="50"/>
      <c r="J26" s="23">
        <v>1</v>
      </c>
      <c r="K26" s="8"/>
    </row>
    <row r="27" spans="1:14" ht="14" x14ac:dyDescent="0.15">
      <c r="A27" s="4"/>
      <c r="G27" s="29" t="s">
        <v>28</v>
      </c>
      <c r="H27" s="50"/>
      <c r="I27" s="50"/>
      <c r="J27" s="23" t="s">
        <v>40</v>
      </c>
      <c r="K27" s="8"/>
    </row>
    <row r="28" spans="1:14" ht="14" thickBot="1" x14ac:dyDescent="0.2">
      <c r="A28" s="4"/>
      <c r="G28" s="30" t="s">
        <v>29</v>
      </c>
      <c r="H28" s="51"/>
      <c r="I28" s="51"/>
      <c r="J28" s="24">
        <v>0.6</v>
      </c>
      <c r="K28" s="94"/>
      <c r="L28" s="35"/>
      <c r="M28" s="36"/>
      <c r="N28" s="36"/>
    </row>
    <row r="29" spans="1:14" x14ac:dyDescent="0.15">
      <c r="A29" s="4"/>
      <c r="G29" s="49" t="s">
        <v>51</v>
      </c>
      <c r="K29" s="8"/>
    </row>
    <row r="30" spans="1:14" ht="14" thickBot="1" x14ac:dyDescent="0.2">
      <c r="A30" s="4"/>
      <c r="K30" s="8"/>
    </row>
    <row r="31" spans="1:14" ht="14" thickBot="1" x14ac:dyDescent="0.2">
      <c r="A31" s="4"/>
      <c r="D31" s="31" t="s">
        <v>42</v>
      </c>
      <c r="E31" s="34"/>
      <c r="F31" s="34"/>
      <c r="G31" s="34"/>
      <c r="H31" s="33"/>
      <c r="K31" s="8"/>
    </row>
    <row r="32" spans="1:14" ht="14.25" customHeight="1" x14ac:dyDescent="0.15">
      <c r="A32" s="4"/>
      <c r="D32" s="332" t="s">
        <v>21</v>
      </c>
      <c r="E32" s="333"/>
      <c r="F32" s="343"/>
      <c r="G32" s="57" t="s">
        <v>39</v>
      </c>
      <c r="H32" s="58"/>
      <c r="K32" s="8"/>
    </row>
    <row r="33" spans="1:11" x14ac:dyDescent="0.15">
      <c r="A33" s="4"/>
      <c r="D33" s="336"/>
      <c r="E33" s="337"/>
      <c r="F33" s="344"/>
      <c r="G33" s="77" t="s">
        <v>0</v>
      </c>
      <c r="H33" s="59"/>
      <c r="K33" s="8"/>
    </row>
    <row r="34" spans="1:11" ht="27" customHeight="1" x14ac:dyDescent="0.15">
      <c r="A34" s="4"/>
      <c r="D34" s="328" t="s">
        <v>78</v>
      </c>
      <c r="E34" s="329"/>
      <c r="F34" s="329"/>
      <c r="G34" s="55">
        <v>10</v>
      </c>
      <c r="H34" s="56"/>
      <c r="K34" s="8"/>
    </row>
    <row r="35" spans="1:11" ht="26.25" customHeight="1" x14ac:dyDescent="0.15">
      <c r="A35" s="4"/>
      <c r="D35" s="328" t="s">
        <v>79</v>
      </c>
      <c r="E35" s="329"/>
      <c r="F35" s="329"/>
      <c r="G35" s="55">
        <v>3</v>
      </c>
      <c r="H35" s="56"/>
      <c r="K35" s="8"/>
    </row>
    <row r="36" spans="1:11" ht="41.25" customHeight="1" x14ac:dyDescent="0.15">
      <c r="A36" s="4"/>
      <c r="D36" s="328" t="s">
        <v>80</v>
      </c>
      <c r="E36" s="329"/>
      <c r="F36" s="329"/>
      <c r="G36" s="55" t="s">
        <v>46</v>
      </c>
      <c r="H36" s="56"/>
      <c r="K36" s="8"/>
    </row>
    <row r="37" spans="1:11" ht="17.25" customHeight="1" x14ac:dyDescent="0.15">
      <c r="A37" s="4"/>
      <c r="D37" s="328" t="s">
        <v>81</v>
      </c>
      <c r="E37" s="329"/>
      <c r="F37" s="329"/>
      <c r="G37" s="55" t="s">
        <v>47</v>
      </c>
      <c r="H37" s="56"/>
      <c r="K37" s="8"/>
    </row>
    <row r="38" spans="1:11" ht="41.25" customHeight="1" x14ac:dyDescent="0.15">
      <c r="A38" s="4"/>
      <c r="D38" s="328" t="s">
        <v>43</v>
      </c>
      <c r="E38" s="329"/>
      <c r="F38" s="329"/>
      <c r="G38" s="55">
        <v>1</v>
      </c>
      <c r="H38" s="56"/>
      <c r="K38" s="8"/>
    </row>
    <row r="39" spans="1:11" ht="24.75" customHeight="1" x14ac:dyDescent="0.15">
      <c r="A39" s="4"/>
      <c r="D39" s="328" t="s">
        <v>44</v>
      </c>
      <c r="E39" s="329"/>
      <c r="F39" s="329"/>
      <c r="G39" s="55" t="s">
        <v>48</v>
      </c>
      <c r="H39" s="56"/>
      <c r="K39" s="8"/>
    </row>
    <row r="40" spans="1:11" ht="16.5" customHeight="1" thickBot="1" x14ac:dyDescent="0.2">
      <c r="A40" s="4"/>
      <c r="D40" s="355" t="s">
        <v>45</v>
      </c>
      <c r="E40" s="356"/>
      <c r="F40" s="356"/>
      <c r="G40" s="60" t="s">
        <v>48</v>
      </c>
      <c r="H40" s="61"/>
      <c r="K40" s="8"/>
    </row>
    <row r="41" spans="1:11" ht="34.5" customHeight="1" x14ac:dyDescent="0.15">
      <c r="A41" s="4"/>
      <c r="D41" s="345" t="s">
        <v>49</v>
      </c>
      <c r="E41" s="345"/>
      <c r="F41" s="345"/>
      <c r="G41" s="345"/>
      <c r="H41" s="345"/>
      <c r="I41" s="54"/>
      <c r="J41" s="54"/>
      <c r="K41" s="8"/>
    </row>
    <row r="42" spans="1:11" ht="12.75" customHeight="1" x14ac:dyDescent="0.15">
      <c r="A42" s="4"/>
      <c r="D42" s="346" t="s">
        <v>50</v>
      </c>
      <c r="E42" s="346"/>
      <c r="F42" s="346"/>
      <c r="G42" s="346"/>
      <c r="H42" s="346"/>
      <c r="I42" s="54"/>
      <c r="J42" s="54"/>
      <c r="K42" s="8"/>
    </row>
    <row r="43" spans="1:11" ht="12.75" customHeight="1" x14ac:dyDescent="0.15">
      <c r="A43" s="4"/>
      <c r="D43" s="346" t="s">
        <v>52</v>
      </c>
      <c r="E43" s="346"/>
      <c r="F43" s="346"/>
      <c r="G43" s="346"/>
      <c r="H43" s="346"/>
      <c r="I43" s="54"/>
      <c r="J43" s="54"/>
      <c r="K43" s="8"/>
    </row>
    <row r="44" spans="1:11" ht="15.75" customHeight="1" thickBot="1" x14ac:dyDescent="0.2">
      <c r="A44" s="5"/>
      <c r="B44" s="6"/>
      <c r="C44" s="6"/>
      <c r="D44" s="6"/>
      <c r="E44" s="6"/>
      <c r="F44" s="6"/>
      <c r="G44" s="6"/>
      <c r="H44" s="6"/>
      <c r="I44" s="6"/>
      <c r="J44" s="6"/>
      <c r="K44" s="9"/>
    </row>
    <row r="45" spans="1:11" ht="15.75" customHeight="1" thickBot="1" x14ac:dyDescent="0.2">
      <c r="A45" s="32"/>
    </row>
    <row r="46" spans="1:11" x14ac:dyDescent="0.15">
      <c r="A46" s="14" t="s">
        <v>53</v>
      </c>
      <c r="B46" s="12"/>
      <c r="C46" s="11"/>
      <c r="D46" s="12"/>
      <c r="E46" s="12"/>
      <c r="F46" s="12"/>
      <c r="G46" s="11"/>
      <c r="H46" s="12"/>
      <c r="I46" s="11"/>
      <c r="J46" s="12"/>
      <c r="K46" s="13"/>
    </row>
    <row r="47" spans="1:11" x14ac:dyDescent="0.15">
      <c r="A47" s="4"/>
      <c r="K47" s="8"/>
    </row>
    <row r="48" spans="1:11" ht="15" x14ac:dyDescent="0.2">
      <c r="A48" s="4"/>
      <c r="C48" s="28" t="s">
        <v>74</v>
      </c>
      <c r="K48" s="8"/>
    </row>
    <row r="49" spans="1:11" x14ac:dyDescent="0.15">
      <c r="A49" s="4"/>
      <c r="C49" s="28" t="s">
        <v>69</v>
      </c>
      <c r="K49" s="8"/>
    </row>
    <row r="50" spans="1:11" x14ac:dyDescent="0.15">
      <c r="A50" s="4"/>
      <c r="C50" s="28" t="s">
        <v>70</v>
      </c>
      <c r="K50" s="8"/>
    </row>
    <row r="51" spans="1:11" x14ac:dyDescent="0.15">
      <c r="A51" s="4"/>
      <c r="C51" s="28" t="s">
        <v>75</v>
      </c>
      <c r="K51" s="8"/>
    </row>
    <row r="52" spans="1:11" x14ac:dyDescent="0.15">
      <c r="A52" s="4"/>
      <c r="K52" s="8"/>
    </row>
    <row r="53" spans="1:11" x14ac:dyDescent="0.15">
      <c r="A53" s="4"/>
      <c r="K53" s="8"/>
    </row>
    <row r="54" spans="1:11" x14ac:dyDescent="0.15">
      <c r="A54" s="4"/>
      <c r="K54" s="8"/>
    </row>
    <row r="55" spans="1:11" x14ac:dyDescent="0.15">
      <c r="A55" s="4"/>
      <c r="K55" s="8"/>
    </row>
    <row r="56" spans="1:11" x14ac:dyDescent="0.15">
      <c r="A56" s="4"/>
      <c r="K56" s="8"/>
    </row>
    <row r="57" spans="1:11" x14ac:dyDescent="0.15">
      <c r="A57" s="4"/>
      <c r="K57" s="8"/>
    </row>
    <row r="58" spans="1:11" x14ac:dyDescent="0.15">
      <c r="A58" s="4"/>
      <c r="K58" s="8"/>
    </row>
    <row r="59" spans="1:11" x14ac:dyDescent="0.15">
      <c r="A59" s="4"/>
      <c r="K59" s="8"/>
    </row>
    <row r="60" spans="1:11" x14ac:dyDescent="0.15">
      <c r="A60" s="4"/>
      <c r="K60" s="8"/>
    </row>
    <row r="61" spans="1:11" ht="14" thickBot="1" x14ac:dyDescent="0.2">
      <c r="A61" s="4"/>
      <c r="F61" s="10"/>
      <c r="G61" s="10"/>
      <c r="H61" s="10"/>
      <c r="I61" s="10"/>
      <c r="J61" s="10"/>
      <c r="K61" s="8"/>
    </row>
    <row r="62" spans="1:11" x14ac:dyDescent="0.15">
      <c r="A62" s="4"/>
      <c r="B62" s="62" t="s">
        <v>54</v>
      </c>
      <c r="C62" s="63"/>
      <c r="D62" s="64"/>
      <c r="E62" s="10"/>
      <c r="F62" s="62" t="s">
        <v>61</v>
      </c>
      <c r="G62" s="63"/>
      <c r="H62" s="63"/>
      <c r="I62" s="63"/>
      <c r="J62" s="79" t="s">
        <v>67</v>
      </c>
      <c r="K62" s="8"/>
    </row>
    <row r="63" spans="1:11" x14ac:dyDescent="0.15">
      <c r="A63" s="4"/>
      <c r="B63" s="65" t="s">
        <v>82</v>
      </c>
      <c r="C63" s="66"/>
      <c r="D63" s="67"/>
      <c r="E63" s="93"/>
      <c r="F63" s="78" t="s">
        <v>62</v>
      </c>
      <c r="G63" s="50"/>
      <c r="H63" s="50"/>
      <c r="I63" s="50"/>
      <c r="J63" s="80" t="str">
        <f>IF(C66&gt;300,"SI","NO")</f>
        <v>NO</v>
      </c>
      <c r="K63" s="8"/>
    </row>
    <row r="64" spans="1:11" ht="15" x14ac:dyDescent="0.2">
      <c r="A64" s="4"/>
      <c r="B64" s="82" t="s">
        <v>60</v>
      </c>
      <c r="C64" s="269">
        <v>23</v>
      </c>
      <c r="D64" s="83" t="s">
        <v>0</v>
      </c>
      <c r="F64" s="78" t="s">
        <v>63</v>
      </c>
      <c r="G64" s="50"/>
      <c r="H64" s="50"/>
      <c r="I64" s="50"/>
      <c r="J64" s="80" t="str">
        <f>IF(B$70="Limpias",IF(C$68&lt;5,"SI","NO"),"")</f>
        <v>SI</v>
      </c>
      <c r="K64" s="8"/>
    </row>
    <row r="65" spans="1:11" x14ac:dyDescent="0.15">
      <c r="A65" s="4"/>
      <c r="B65" s="65" t="s">
        <v>55</v>
      </c>
      <c r="C65" s="95"/>
      <c r="D65" s="96"/>
      <c r="E65" s="93"/>
      <c r="F65" s="78" t="s">
        <v>64</v>
      </c>
      <c r="G65" s="50"/>
      <c r="H65" s="50"/>
      <c r="I65" s="50"/>
      <c r="J65" s="80" t="str">
        <f>IF(B$70&lt;&gt;"Limpias",IF(C$68&lt;25,"SI","NO"),"")</f>
        <v/>
      </c>
      <c r="K65" s="8"/>
    </row>
    <row r="66" spans="1:11" ht="14" thickBot="1" x14ac:dyDescent="0.2">
      <c r="A66" s="4"/>
      <c r="B66" s="82" t="s">
        <v>56</v>
      </c>
      <c r="C66" s="270">
        <v>200</v>
      </c>
      <c r="D66" s="84" t="s">
        <v>59</v>
      </c>
      <c r="F66" s="68" t="s">
        <v>66</v>
      </c>
      <c r="G66" s="51"/>
      <c r="H66" s="51"/>
      <c r="I66" s="51"/>
      <c r="J66" s="81" t="str">
        <f>IF(C68/C66&lt;0.02,"SI","NO")</f>
        <v>SI</v>
      </c>
      <c r="K66" s="8"/>
    </row>
    <row r="67" spans="1:11" x14ac:dyDescent="0.15">
      <c r="A67" s="4"/>
      <c r="B67" s="65" t="s">
        <v>57</v>
      </c>
      <c r="C67" s="95"/>
      <c r="D67" s="96"/>
      <c r="E67" s="93"/>
      <c r="K67" s="8"/>
    </row>
    <row r="68" spans="1:11" x14ac:dyDescent="0.15">
      <c r="A68" s="4"/>
      <c r="B68" s="82" t="s">
        <v>58</v>
      </c>
      <c r="C68" s="270">
        <v>3</v>
      </c>
      <c r="D68" s="84" t="s">
        <v>59</v>
      </c>
      <c r="K68" s="8"/>
    </row>
    <row r="69" spans="1:11" x14ac:dyDescent="0.15">
      <c r="A69" s="4"/>
      <c r="B69" s="65" t="s">
        <v>65</v>
      </c>
      <c r="C69" s="66"/>
      <c r="D69" s="67"/>
      <c r="E69" s="93"/>
      <c r="K69" s="8"/>
    </row>
    <row r="70" spans="1:11" ht="14" thickBot="1" x14ac:dyDescent="0.2">
      <c r="A70" s="4"/>
      <c r="B70" s="338" t="s">
        <v>68</v>
      </c>
      <c r="C70" s="339"/>
      <c r="D70" s="340"/>
      <c r="K70" s="8"/>
    </row>
    <row r="71" spans="1:11" x14ac:dyDescent="0.15">
      <c r="A71" s="4"/>
      <c r="K71" s="8"/>
    </row>
    <row r="72" spans="1:11" ht="14" thickBot="1" x14ac:dyDescent="0.2">
      <c r="A72" s="4"/>
      <c r="K72" s="8"/>
    </row>
    <row r="73" spans="1:11" ht="15" x14ac:dyDescent="0.2">
      <c r="A73" s="4"/>
      <c r="B73" s="85" t="s">
        <v>73</v>
      </c>
      <c r="C73" s="76"/>
      <c r="D73" s="341" t="s">
        <v>84</v>
      </c>
      <c r="E73" s="91" t="s">
        <v>85</v>
      </c>
      <c r="K73" s="8"/>
    </row>
    <row r="74" spans="1:11" x14ac:dyDescent="0.15">
      <c r="A74" s="4"/>
      <c r="B74" s="89" t="s">
        <v>14</v>
      </c>
      <c r="C74" s="90" t="s">
        <v>83</v>
      </c>
      <c r="D74" s="342"/>
      <c r="E74" s="92" t="s">
        <v>0</v>
      </c>
      <c r="K74" s="8"/>
    </row>
    <row r="75" spans="1:11" x14ac:dyDescent="0.15">
      <c r="A75" s="4"/>
      <c r="B75" s="271">
        <v>1</v>
      </c>
      <c r="C75" s="87" t="str">
        <f>IF(AND(0.05&lt;C$66/(B75*1000),C$66/(B75*1000)&lt;2),"SI","NO")</f>
        <v>SI</v>
      </c>
      <c r="D75" s="88">
        <f>(3+C$66/(B75*1000))/(10*SQRT(1+300*C$68/C$66))</f>
        <v>0.13644845846759068</v>
      </c>
      <c r="E75" s="71">
        <f>C$64*D75</f>
        <v>3.1383145447545857</v>
      </c>
      <c r="K75" s="8"/>
    </row>
    <row r="76" spans="1:11" x14ac:dyDescent="0.15">
      <c r="A76" s="4"/>
      <c r="B76" s="272">
        <v>1.5</v>
      </c>
      <c r="C76" s="19" t="str">
        <f>IF(AND(0.05&lt;C$66/(B76*1000),C$66/(B76*1000)&lt;2),"SI","NO")</f>
        <v>SI</v>
      </c>
      <c r="D76" s="70">
        <f>(3+C$66/(B76*1000))/(10*SQRT(1+300*C$68/C$66))</f>
        <v>0.13360578224951586</v>
      </c>
      <c r="E76" s="71">
        <f>C$64*D76</f>
        <v>3.0729329917388646</v>
      </c>
      <c r="K76" s="8"/>
    </row>
    <row r="77" spans="1:11" x14ac:dyDescent="0.15">
      <c r="A77" s="4"/>
      <c r="B77" s="272">
        <v>2</v>
      </c>
      <c r="C77" s="19" t="str">
        <f>IF(AND(0.05&lt;C$66/(B77*1000),C$66/(B77*1000)&lt;2),"SI","NO")</f>
        <v>SI</v>
      </c>
      <c r="D77" s="70">
        <f>(3+C$66/(B77*1000))/(10*SQRT(1+300*C$68/C$66))</f>
        <v>0.13218444414047847</v>
      </c>
      <c r="E77" s="71">
        <f>C$64*D77</f>
        <v>3.0402422152310047</v>
      </c>
      <c r="K77" s="8"/>
    </row>
    <row r="78" spans="1:11" x14ac:dyDescent="0.15">
      <c r="A78" s="4"/>
      <c r="B78" s="272">
        <v>2.5</v>
      </c>
      <c r="C78" s="19" t="str">
        <f>IF(AND(0.05&lt;C$66/(B78*1000),C$66/(B78*1000)&lt;2),"SI","NO")</f>
        <v>SI</v>
      </c>
      <c r="D78" s="70">
        <f>(3+C$66/(B78*1000))/(10*SQRT(1+300*C$68/C$66))</f>
        <v>0.13133164127505603</v>
      </c>
      <c r="E78" s="71">
        <f>C$64*D78</f>
        <v>3.0206277493262887</v>
      </c>
      <c r="K78" s="8"/>
    </row>
    <row r="79" spans="1:11" ht="14" thickBot="1" x14ac:dyDescent="0.2">
      <c r="A79" s="4"/>
      <c r="B79" s="273">
        <v>3</v>
      </c>
      <c r="C79" s="73" t="str">
        <f>IF(AND(0.05&lt;C$66/(B79*1000),C$66/(B79*1000)&lt;2),"SI","NO")</f>
        <v>SI</v>
      </c>
      <c r="D79" s="74">
        <f>(3+C$66/(B79*1000))/(10*SQRT(1+300*C$68/C$66))</f>
        <v>0.13076310603144106</v>
      </c>
      <c r="E79" s="75">
        <f>C$64*D79</f>
        <v>3.0075514387231443</v>
      </c>
      <c r="K79" s="8"/>
    </row>
    <row r="80" spans="1:11" x14ac:dyDescent="0.15">
      <c r="A80" s="4"/>
      <c r="K80" s="8"/>
    </row>
    <row r="81" spans="1:11" x14ac:dyDescent="0.15">
      <c r="A81" s="4"/>
      <c r="K81" s="8"/>
    </row>
    <row r="82" spans="1:11" x14ac:dyDescent="0.15">
      <c r="A82" s="4"/>
      <c r="K82" s="8"/>
    </row>
    <row r="83" spans="1:11" x14ac:dyDescent="0.15">
      <c r="A83" s="4"/>
      <c r="K83" s="8"/>
    </row>
    <row r="84" spans="1:11" ht="14" thickBot="1" x14ac:dyDescent="0.2">
      <c r="A84" s="5"/>
      <c r="B84" s="6"/>
      <c r="C84" s="6"/>
      <c r="D84" s="6"/>
      <c r="E84" s="6"/>
      <c r="F84" s="6"/>
      <c r="G84" s="6"/>
      <c r="H84" s="6"/>
      <c r="I84" s="6"/>
      <c r="J84" s="6"/>
      <c r="K84" s="9"/>
    </row>
  </sheetData>
  <customSheetViews>
    <customSheetView guid="{65522948-B87D-4DE1-A919-A9DBF05A422E}" showPageBreaks="1" showGridLines="0" fitToPage="1" printArea="1" view="pageBreakPreview" topLeftCell="A10">
      <selection activeCell="B70" sqref="B70:D70"/>
      <pageMargins left="0.78740157480314965" right="0.78740157480314965" top="0.52" bottom="0.54" header="0" footer="0"/>
      <pageSetup paperSize="9" scale="60" fitToHeight="2" orientation="portrait" r:id="rId1"/>
      <headerFooter alignWithMargins="0"/>
    </customSheetView>
    <customSheetView guid="{7FD2F097-FB49-43FA-AD37-E78F103B659E}" showPageBreaks="1" showGridLines="0" fitToPage="1" printArea="1" view="pageBreakPreview" showRuler="0" topLeftCell="A10">
      <selection activeCell="B70" sqref="B70:D70"/>
      <pageMargins left="0.78740157480314965" right="0.78740157480314965" top="0.52" bottom="0.54" header="0" footer="0"/>
      <pageSetup paperSize="9" scale="59" fitToHeight="2" orientation="portrait" r:id="rId2"/>
      <headerFooter alignWithMargins="0"/>
    </customSheetView>
    <customSheetView guid="{12114348-3A8D-4935-A6F6-768010CCAE46}" showPageBreaks="1" showGridLines="0" fitToPage="1" printArea="1" view="pageBreakPreview" showRuler="0" topLeftCell="A22">
      <selection activeCell="B70" sqref="B70:D70"/>
      <pageMargins left="0.78740157480314965" right="0.78740157480314965" top="0.52" bottom="0.54" header="0" footer="0"/>
      <pageSetup paperSize="9" scale="59" fitToHeight="2" orientation="portrait" r:id="rId3"/>
      <headerFooter alignWithMargins="0"/>
    </customSheetView>
    <customSheetView guid="{20C30929-F252-406C-8D94-44905722B9D9}" showPageBreaks="1" showGridLines="0" fitToPage="1" printArea="1" view="pageBreakPreview" showRuler="0" topLeftCell="A22">
      <selection activeCell="B70" sqref="B70:D70"/>
      <pageMargins left="0.78740157480314965" right="0.78740157480314965" top="0.52" bottom="0.54" header="0" footer="0"/>
      <pageSetup paperSize="9" scale="59" fitToHeight="2" orientation="portrait" r:id="rId4"/>
      <headerFooter alignWithMargins="0"/>
    </customSheetView>
    <customSheetView guid="{8127D4AB-9453-4548-91B7-C6CE80D2789C}" showPageBreaks="1" showGridLines="0" fitToPage="1" printArea="1" view="pageBreakPreview" showRuler="0">
      <selection activeCell="B70" sqref="B70:D70"/>
      <pageMargins left="0.78740157480314965" right="0.78740157480314965" top="0.52" bottom="0.54" header="0" footer="0"/>
      <pageSetup paperSize="9" scale="59" fitToHeight="2" orientation="portrait" r:id="rId5"/>
      <headerFooter alignWithMargins="0"/>
    </customSheetView>
    <customSheetView guid="{6D1BF510-2AF1-43B4-AE7F-259F79E565AC}" showPageBreaks="1" showGridLines="0" fitToPage="1" printArea="1" view="pageBreakPreview" showRuler="0" topLeftCell="A22">
      <selection activeCell="B70" sqref="B70:D70"/>
      <pageMargins left="0.78740157480314965" right="0.78740157480314965" top="0.52" bottom="0.54" header="0" footer="0"/>
      <pageSetup paperSize="9" scale="59" fitToHeight="2" orientation="portrait" r:id="rId6"/>
      <headerFooter alignWithMargins="0"/>
    </customSheetView>
    <customSheetView guid="{543E864F-509F-4920-81D1-F8BE4AA5D61C}" showPageBreaks="1" showGridLines="0" fitToPage="1" printArea="1" view="pageBreakPreview" showRuler="0" topLeftCell="A10">
      <selection activeCell="B70" sqref="B70:D70"/>
      <pageMargins left="0.78740157480314965" right="0.78740157480314965" top="0.52" bottom="0.54" header="0" footer="0"/>
      <pageSetup paperSize="9" scale="59" fitToHeight="2" orientation="portrait" r:id="rId7"/>
      <headerFooter alignWithMargins="0"/>
    </customSheetView>
    <customSheetView guid="{2F909812-D728-4B8D-9839-2364091D9253}" showPageBreaks="1" showGridLines="0" fitToPage="1" printArea="1" view="pageBreakPreview" showRuler="0" topLeftCell="A10">
      <selection activeCell="B70" sqref="B70:D70"/>
      <pageMargins left="0.78740157480314965" right="0.78740157480314965" top="0.52" bottom="0.54" header="0" footer="0"/>
      <pageSetup paperSize="9" scale="59" fitToHeight="2" orientation="portrait" r:id="rId8"/>
      <headerFooter alignWithMargins="0"/>
    </customSheetView>
    <customSheetView guid="{5A0DBCB3-B2E7-4F2F-A73A-3B24630E7D1A}" showPageBreaks="1" showGridLines="0" fitToPage="1" printArea="1" view="pageBreakPreview" topLeftCell="A10">
      <selection activeCell="B70" sqref="B70:D70"/>
      <pageMargins left="0.78740157480314965" right="0.78740157480314965" top="0.52" bottom="0.54" header="0" footer="0"/>
      <pageSetup paperSize="9" scale="59" fitToHeight="2" orientation="portrait" r:id="rId9"/>
      <headerFooter alignWithMargins="0"/>
    </customSheetView>
  </customSheetViews>
  <mergeCells count="17">
    <mergeCell ref="D35:F35"/>
    <mergeCell ref="D36:F36"/>
    <mergeCell ref="D20:D21"/>
    <mergeCell ref="B20:C22"/>
    <mergeCell ref="B70:D70"/>
    <mergeCell ref="D73:D74"/>
    <mergeCell ref="D32:F33"/>
    <mergeCell ref="D41:H41"/>
    <mergeCell ref="D42:H42"/>
    <mergeCell ref="D43:H43"/>
    <mergeCell ref="D37:F37"/>
    <mergeCell ref="D38:F38"/>
    <mergeCell ref="G20:I21"/>
    <mergeCell ref="E20:E21"/>
    <mergeCell ref="D39:F39"/>
    <mergeCell ref="D40:F40"/>
    <mergeCell ref="D34:F34"/>
  </mergeCells>
  <phoneticPr fontId="2" type="noConversion"/>
  <conditionalFormatting sqref="J63:J66 C75:C79">
    <cfRule type="cellIs" dxfId="15" priority="1" stopIfTrue="1" operator="equal">
      <formula>"SI"</formula>
    </cfRule>
    <cfRule type="cellIs" dxfId="14" priority="2" stopIfTrue="1" operator="equal">
      <formula>"NO"</formula>
    </cfRule>
  </conditionalFormatting>
  <dataValidations count="1">
    <dataValidation type="list" allowBlank="1" showInputMessage="1" showErrorMessage="1" sqref="B70" xr:uid="{1B9FB3DA-1CF2-4CF8-9625-E6F16803B734}">
      <formula1>$P$3:$P$4</formula1>
    </dataValidation>
  </dataValidations>
  <pageMargins left="0.78740157480314965" right="0.78740157480314965" top="0.52" bottom="0.54" header="0" footer="0"/>
  <pageSetup paperSize="9" scale="55" fitToHeight="2" orientation="portrait" r:id="rId10"/>
  <headerFooter alignWithMargins="0"/>
  <drawing r:id="rId11"/>
  <legacyDrawing r:id="rId12"/>
  <oleObjects>
    <mc:AlternateContent xmlns:mc="http://schemas.openxmlformats.org/markup-compatibility/2006">
      <mc:Choice Requires="x14">
        <oleObject progId="Equation.3" shapeId="35852" r:id="rId13">
          <objectPr defaultSize="0" r:id="rId14">
            <anchor moveWithCells="1">
              <from>
                <xdr:col>4</xdr:col>
                <xdr:colOff>723900</xdr:colOff>
                <xdr:row>51</xdr:row>
                <xdr:rowOff>127000</xdr:rowOff>
              </from>
              <to>
                <xdr:col>5</xdr:col>
                <xdr:colOff>660400</xdr:colOff>
                <xdr:row>53</xdr:row>
                <xdr:rowOff>38100</xdr:rowOff>
              </to>
            </anchor>
          </objectPr>
        </oleObject>
      </mc:Choice>
      <mc:Fallback>
        <oleObject progId="Equation.3" shapeId="35852" r:id="rId13"/>
      </mc:Fallback>
    </mc:AlternateContent>
    <mc:AlternateContent xmlns:mc="http://schemas.openxmlformats.org/markup-compatibility/2006">
      <mc:Choice Requires="x14">
        <oleObject progId="Equation.3" shapeId="35853" r:id="rId15">
          <objectPr defaultSize="0" r:id="rId16">
            <anchor moveWithCells="1">
              <from>
                <xdr:col>4</xdr:col>
                <xdr:colOff>457200</xdr:colOff>
                <xdr:row>54</xdr:row>
                <xdr:rowOff>12700</xdr:rowOff>
              </from>
              <to>
                <xdr:col>6</xdr:col>
                <xdr:colOff>88900</xdr:colOff>
                <xdr:row>59</xdr:row>
                <xdr:rowOff>25400</xdr:rowOff>
              </to>
            </anchor>
          </objectPr>
        </oleObject>
      </mc:Choice>
      <mc:Fallback>
        <oleObject progId="Equation.3" shapeId="35853" r:id="rId15"/>
      </mc:Fallback>
    </mc:AlternateContent>
  </oleObject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B81DD8-E260-4896-9D67-D0070A0191B4}">
  <sheetPr codeName="Hoja2">
    <pageSetUpPr fitToPage="1"/>
  </sheetPr>
  <dimension ref="A1:AW104"/>
  <sheetViews>
    <sheetView showGridLines="0" view="pageBreakPreview" topLeftCell="K26" zoomScale="85" zoomScaleNormal="40" zoomScaleSheetLayoutView="70" workbookViewId="0">
      <selection activeCell="AA37" sqref="AA37"/>
    </sheetView>
  </sheetViews>
  <sheetFormatPr baseColWidth="10" defaultRowHeight="13" x14ac:dyDescent="0.15"/>
  <cols>
    <col min="1" max="1" width="4.6640625" customWidth="1"/>
    <col min="2" max="12" width="13.1640625" customWidth="1"/>
    <col min="13" max="13" width="4.6640625" customWidth="1"/>
    <col min="16" max="16" width="4.6640625" customWidth="1"/>
    <col min="17" max="27" width="13.1640625" customWidth="1"/>
    <col min="28" max="28" width="4.6640625" customWidth="1"/>
    <col min="31" max="31" width="11.6640625" customWidth="1"/>
    <col min="41" max="41" width="11.5" customWidth="1"/>
    <col min="42" max="42" width="12" bestFit="1" customWidth="1"/>
  </cols>
  <sheetData>
    <row r="1" spans="1:47" ht="18.75" customHeight="1" x14ac:dyDescent="0.15">
      <c r="A1" s="1"/>
      <c r="B1" s="2"/>
      <c r="C1" s="2"/>
      <c r="D1" s="2"/>
      <c r="E1" s="2"/>
      <c r="F1" s="2"/>
      <c r="G1" s="2"/>
      <c r="H1" s="2"/>
      <c r="I1" s="3"/>
      <c r="J1" s="1"/>
      <c r="K1" s="2"/>
      <c r="L1" s="2"/>
      <c r="M1" s="3"/>
      <c r="N1" s="2"/>
      <c r="P1" s="1"/>
      <c r="Q1" s="2"/>
      <c r="R1" s="2"/>
      <c r="S1" s="2"/>
      <c r="T1" s="2"/>
      <c r="U1" s="2"/>
      <c r="V1" s="2"/>
      <c r="W1" s="2"/>
      <c r="X1" s="3"/>
      <c r="Y1" s="1"/>
      <c r="Z1" s="2"/>
      <c r="AA1" s="2"/>
      <c r="AB1" s="3"/>
    </row>
    <row r="2" spans="1:47" ht="18.75" customHeight="1" x14ac:dyDescent="0.2">
      <c r="A2" s="22" t="s">
        <v>89</v>
      </c>
      <c r="B2" s="125"/>
      <c r="C2" s="7"/>
      <c r="D2" s="7"/>
      <c r="E2" s="7"/>
      <c r="F2" s="7"/>
      <c r="G2" s="7"/>
      <c r="H2" s="7"/>
      <c r="I2" s="18"/>
      <c r="J2" s="4"/>
      <c r="M2" s="8"/>
      <c r="N2" t="s">
        <v>105</v>
      </c>
      <c r="P2" s="22" t="s">
        <v>89</v>
      </c>
      <c r="Q2" s="125"/>
      <c r="R2" s="7"/>
      <c r="S2" s="7"/>
      <c r="T2" s="7"/>
      <c r="U2" s="7"/>
      <c r="V2" s="7"/>
      <c r="W2" s="7"/>
      <c r="X2" s="18"/>
      <c r="Y2" s="4"/>
      <c r="AB2" s="8"/>
    </row>
    <row r="3" spans="1:47" ht="18.75" customHeight="1" thickBot="1" x14ac:dyDescent="0.2">
      <c r="A3" s="5"/>
      <c r="B3" s="6"/>
      <c r="C3" s="6"/>
      <c r="D3" s="6"/>
      <c r="E3" s="6"/>
      <c r="F3" s="6"/>
      <c r="G3" s="6"/>
      <c r="H3" s="6"/>
      <c r="I3" s="9"/>
      <c r="J3" s="5"/>
      <c r="K3" s="6"/>
      <c r="L3" s="6"/>
      <c r="M3" s="9"/>
      <c r="N3" t="s">
        <v>106</v>
      </c>
      <c r="P3" s="5"/>
      <c r="Q3" s="6"/>
      <c r="R3" s="6"/>
      <c r="S3" s="6"/>
      <c r="T3" s="6"/>
      <c r="U3" s="6"/>
      <c r="V3" s="6"/>
      <c r="W3" s="6"/>
      <c r="X3" s="9"/>
      <c r="Y3" s="5"/>
      <c r="Z3" s="6"/>
      <c r="AA3" s="6"/>
      <c r="AB3" s="9"/>
    </row>
    <row r="4" spans="1:47" ht="18.75" customHeight="1" thickBot="1" x14ac:dyDescent="0.2">
      <c r="A4" s="2"/>
      <c r="B4" s="2"/>
      <c r="C4" s="2"/>
      <c r="D4" s="2"/>
      <c r="E4" s="2"/>
      <c r="F4" s="2"/>
      <c r="G4" s="2"/>
      <c r="H4" s="2"/>
      <c r="I4" s="2"/>
      <c r="N4" t="s">
        <v>107</v>
      </c>
      <c r="P4" s="2"/>
      <c r="Q4" s="2"/>
      <c r="R4" s="2"/>
      <c r="S4" s="2"/>
      <c r="T4" s="2"/>
      <c r="U4" s="2"/>
      <c r="V4" s="2"/>
      <c r="W4" s="2"/>
      <c r="X4" s="2"/>
    </row>
    <row r="5" spans="1:47" x14ac:dyDescent="0.1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3"/>
      <c r="P5" s="1"/>
      <c r="Q5" s="2"/>
      <c r="R5" s="2"/>
      <c r="S5" s="2"/>
      <c r="T5" s="2"/>
      <c r="U5" s="2"/>
      <c r="V5" s="2"/>
      <c r="W5" s="2"/>
      <c r="X5" s="2"/>
      <c r="Y5" s="2"/>
      <c r="Z5" s="2"/>
      <c r="AA5" s="2"/>
      <c r="AB5" s="3"/>
    </row>
    <row r="6" spans="1:47" ht="15" customHeight="1" x14ac:dyDescent="0.15">
      <c r="A6" s="4"/>
      <c r="C6" s="10" t="s">
        <v>215</v>
      </c>
      <c r="D6" s="251" t="s">
        <v>242</v>
      </c>
      <c r="G6" s="10"/>
      <c r="H6" s="10"/>
      <c r="I6" s="10"/>
      <c r="M6" s="8"/>
      <c r="P6" s="4"/>
      <c r="R6" s="10" t="s">
        <v>215</v>
      </c>
      <c r="S6" s="251" t="str">
        <f>D6</f>
        <v>CONSEJERÍA DE EDUCACIÓN - JUNTA DE EXTREMADURA</v>
      </c>
      <c r="T6" s="10"/>
      <c r="W6" s="10"/>
      <c r="X6" s="10"/>
      <c r="AB6" s="8"/>
    </row>
    <row r="7" spans="1:47" x14ac:dyDescent="0.15">
      <c r="A7" s="4"/>
      <c r="C7" s="10" t="s">
        <v>216</v>
      </c>
      <c r="D7" s="251" t="s">
        <v>243</v>
      </c>
      <c r="E7" s="10"/>
      <c r="F7" s="10"/>
      <c r="G7" s="10"/>
      <c r="H7" s="10"/>
      <c r="I7" s="10"/>
      <c r="M7" s="8"/>
      <c r="P7" s="4"/>
      <c r="R7" s="10" t="s">
        <v>216</v>
      </c>
      <c r="S7" s="251" t="str">
        <f>D7</f>
        <v>GIMNASIO EN COLEGIO PÚBLICO PRINCIPE DE ASTURIAS - MONTIJO</v>
      </c>
      <c r="T7" s="10"/>
      <c r="U7" s="10"/>
      <c r="V7" s="10"/>
      <c r="W7" s="10"/>
      <c r="AB7" s="8"/>
    </row>
    <row r="8" spans="1:47" x14ac:dyDescent="0.15">
      <c r="A8" s="4"/>
      <c r="C8" s="10" t="s">
        <v>2</v>
      </c>
      <c r="D8" s="251" t="s">
        <v>244</v>
      </c>
      <c r="E8" s="10"/>
      <c r="F8" s="10"/>
      <c r="G8" s="10"/>
      <c r="H8" s="10"/>
      <c r="I8" s="10"/>
      <c r="M8" s="8"/>
      <c r="P8" s="4"/>
      <c r="R8" s="10" t="s">
        <v>2</v>
      </c>
      <c r="S8" s="251" t="str">
        <f>D8</f>
        <v>6/C555/005</v>
      </c>
      <c r="T8" s="10"/>
      <c r="U8" s="10"/>
      <c r="V8" s="10"/>
      <c r="W8" s="10"/>
      <c r="AB8" s="8"/>
    </row>
    <row r="9" spans="1:47" ht="14" thickBot="1" x14ac:dyDescent="0.2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9"/>
      <c r="P9" s="5"/>
      <c r="Q9" s="6"/>
      <c r="R9" s="6"/>
      <c r="S9" s="6"/>
      <c r="T9" s="6"/>
      <c r="U9" s="6"/>
      <c r="V9" s="6"/>
      <c r="W9" s="6"/>
      <c r="X9" s="6"/>
      <c r="Y9" s="6"/>
      <c r="Z9" s="6"/>
      <c r="AA9" s="6"/>
      <c r="AB9" s="9"/>
    </row>
    <row r="10" spans="1:47" ht="14" thickBot="1" x14ac:dyDescent="0.2"/>
    <row r="11" spans="1:47" ht="14" thickBot="1" x14ac:dyDescent="0.2">
      <c r="A11" s="15" t="s">
        <v>217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7"/>
      <c r="N11" s="38"/>
      <c r="O11" s="38"/>
      <c r="P11" s="15" t="s">
        <v>219</v>
      </c>
      <c r="Q11" s="16"/>
      <c r="R11" s="16"/>
      <c r="S11" s="16"/>
      <c r="T11" s="16"/>
      <c r="U11" s="16"/>
      <c r="V11" s="16"/>
      <c r="W11" s="16"/>
      <c r="X11" s="16"/>
      <c r="Y11" s="16"/>
      <c r="Z11" s="16"/>
      <c r="AA11" s="16"/>
      <c r="AB11" s="17"/>
    </row>
    <row r="12" spans="1:47" ht="14" thickBot="1" x14ac:dyDescent="0.2">
      <c r="AD12" s="28" t="s">
        <v>162</v>
      </c>
    </row>
    <row r="13" spans="1:47" x14ac:dyDescent="0.15">
      <c r="A13" s="14" t="s">
        <v>96</v>
      </c>
      <c r="B13" s="11"/>
      <c r="C13" s="12"/>
      <c r="D13" s="11"/>
      <c r="E13" s="12"/>
      <c r="F13" s="12"/>
      <c r="G13" s="12"/>
      <c r="H13" s="11"/>
      <c r="I13" s="12"/>
      <c r="J13" s="11"/>
      <c r="K13" s="12"/>
      <c r="L13" s="12"/>
      <c r="M13" s="13"/>
      <c r="P13" s="14" t="s">
        <v>218</v>
      </c>
      <c r="Q13" s="11"/>
      <c r="R13" s="12"/>
      <c r="S13" s="11"/>
      <c r="T13" s="12"/>
      <c r="U13" s="12"/>
      <c r="V13" s="12"/>
      <c r="W13" s="11"/>
      <c r="X13" s="12"/>
      <c r="Y13" s="11"/>
      <c r="Z13" s="12"/>
      <c r="AA13" s="12"/>
      <c r="AB13" s="13"/>
      <c r="AD13" s="28" t="s">
        <v>163</v>
      </c>
    </row>
    <row r="14" spans="1:47" x14ac:dyDescent="0.15">
      <c r="A14" s="4"/>
      <c r="M14" s="8"/>
      <c r="P14" s="4"/>
      <c r="AB14" s="8"/>
      <c r="AH14" s="209"/>
      <c r="AM14" s="105"/>
      <c r="AN14" s="105"/>
      <c r="AO14" s="105"/>
      <c r="AP14" s="105"/>
      <c r="AQ14" s="105"/>
      <c r="AR14" s="105"/>
      <c r="AS14" s="105"/>
      <c r="AT14" s="105"/>
      <c r="AU14" s="105"/>
    </row>
    <row r="15" spans="1:47" ht="12.75" customHeight="1" x14ac:dyDescent="0.15">
      <c r="A15" s="4"/>
      <c r="M15" s="8"/>
      <c r="P15" s="4"/>
      <c r="X15" t="s">
        <v>154</v>
      </c>
      <c r="AB15" s="8"/>
    </row>
    <row r="16" spans="1:47" ht="17.25" customHeight="1" x14ac:dyDescent="0.15">
      <c r="A16" s="4"/>
      <c r="M16" s="8"/>
      <c r="P16" s="4"/>
      <c r="AB16" s="8"/>
    </row>
    <row r="17" spans="1:28" x14ac:dyDescent="0.15">
      <c r="A17" s="4"/>
      <c r="M17" s="8"/>
      <c r="P17" s="4"/>
      <c r="AB17" s="8"/>
    </row>
    <row r="18" spans="1:28" ht="14" thickBot="1" x14ac:dyDescent="0.2">
      <c r="A18" s="5"/>
      <c r="B18" s="6"/>
      <c r="C18" s="6"/>
      <c r="D18" s="6"/>
      <c r="E18" s="6"/>
      <c r="F18" s="6"/>
      <c r="G18" s="6"/>
      <c r="H18" s="6"/>
      <c r="I18" s="6"/>
      <c r="J18" s="6"/>
      <c r="K18" s="6"/>
      <c r="L18" s="6"/>
      <c r="M18" s="9"/>
      <c r="P18" s="4"/>
      <c r="V18" s="7"/>
      <c r="X18" s="7"/>
      <c r="Y18" s="7"/>
      <c r="Z18" s="7"/>
      <c r="AB18" s="8"/>
    </row>
    <row r="19" spans="1:28" ht="13.5" customHeight="1" thickBot="1" x14ac:dyDescent="0.2">
      <c r="P19" s="4"/>
      <c r="V19" s="367"/>
      <c r="AB19" s="8"/>
    </row>
    <row r="20" spans="1:28" x14ac:dyDescent="0.15">
      <c r="A20" s="14" t="s">
        <v>187</v>
      </c>
      <c r="B20" s="11"/>
      <c r="C20" s="12"/>
      <c r="D20" s="11"/>
      <c r="E20" s="12"/>
      <c r="F20" s="13"/>
      <c r="G20" s="14" t="s">
        <v>90</v>
      </c>
      <c r="H20" s="11"/>
      <c r="I20" s="12"/>
      <c r="J20" s="11"/>
      <c r="K20" s="12"/>
      <c r="L20" s="12"/>
      <c r="M20" s="13"/>
      <c r="P20" s="4"/>
      <c r="V20" s="367"/>
      <c r="AB20" s="8"/>
    </row>
    <row r="21" spans="1:28" ht="14.25" customHeight="1" x14ac:dyDescent="0.15">
      <c r="A21" s="220"/>
      <c r="B21" s="221"/>
      <c r="C21" s="7"/>
      <c r="D21" s="221"/>
      <c r="E21" s="7"/>
      <c r="F21" s="18"/>
      <c r="G21" s="220"/>
      <c r="H21" s="221"/>
      <c r="I21" s="7"/>
      <c r="J21" s="221"/>
      <c r="K21" s="7"/>
      <c r="L21" s="7"/>
      <c r="M21" s="18"/>
      <c r="N21" t="s">
        <v>109</v>
      </c>
      <c r="P21" s="4"/>
      <c r="V21" s="367"/>
      <c r="AB21" s="8"/>
    </row>
    <row r="22" spans="1:28" ht="14.25" customHeight="1" x14ac:dyDescent="0.15">
      <c r="A22" s="4"/>
      <c r="B22" s="10" t="s">
        <v>197</v>
      </c>
      <c r="F22" s="8"/>
      <c r="G22" s="230" t="s">
        <v>190</v>
      </c>
      <c r="M22" s="8"/>
      <c r="N22" t="s">
        <v>108</v>
      </c>
      <c r="O22" s="98">
        <v>1000</v>
      </c>
      <c r="P22" s="4"/>
      <c r="V22" s="367"/>
      <c r="AB22" s="8"/>
    </row>
    <row r="23" spans="1:28" ht="14.25" customHeight="1" x14ac:dyDescent="0.2">
      <c r="A23" s="4"/>
      <c r="B23" s="357" t="s">
        <v>246</v>
      </c>
      <c r="C23" s="357"/>
      <c r="D23" s="357"/>
      <c r="F23" s="8"/>
      <c r="G23" s="235" t="s">
        <v>95</v>
      </c>
      <c r="H23" s="252">
        <v>30</v>
      </c>
      <c r="I23" t="s">
        <v>1</v>
      </c>
      <c r="J23" s="372" t="s">
        <v>200</v>
      </c>
      <c r="K23" s="372"/>
      <c r="L23" s="372"/>
      <c r="M23" s="373"/>
      <c r="N23" s="97">
        <f>RADIANS(H23)</f>
        <v>0.52359877559829882</v>
      </c>
      <c r="P23" s="4"/>
      <c r="V23" s="367"/>
      <c r="AB23" s="8"/>
    </row>
    <row r="24" spans="1:28" ht="14.25" customHeight="1" x14ac:dyDescent="0.2">
      <c r="A24" s="4"/>
      <c r="F24" s="8"/>
      <c r="G24" s="4" t="s">
        <v>92</v>
      </c>
      <c r="H24" s="255">
        <v>0</v>
      </c>
      <c r="I24" t="s">
        <v>6</v>
      </c>
      <c r="J24" s="372"/>
      <c r="K24" s="372"/>
      <c r="L24" s="372"/>
      <c r="M24" s="373"/>
      <c r="O24" s="98"/>
      <c r="P24" s="4"/>
      <c r="V24" s="367"/>
      <c r="AB24" s="8"/>
    </row>
    <row r="25" spans="1:28" ht="14.25" customHeight="1" x14ac:dyDescent="0.15">
      <c r="A25" s="4"/>
      <c r="B25" s="10" t="s">
        <v>104</v>
      </c>
      <c r="F25" s="8"/>
      <c r="G25" s="4"/>
      <c r="M25" s="8"/>
      <c r="O25" s="98"/>
      <c r="P25" s="4"/>
      <c r="AB25" s="8"/>
    </row>
    <row r="26" spans="1:28" ht="14.25" customHeight="1" x14ac:dyDescent="0.2">
      <c r="A26" s="4"/>
      <c r="B26" s="252" t="s">
        <v>106</v>
      </c>
      <c r="F26" s="8"/>
      <c r="G26" s="230" t="s">
        <v>194</v>
      </c>
      <c r="M26" s="8"/>
      <c r="O26" s="98"/>
      <c r="P26" s="4"/>
      <c r="V26" s="7"/>
      <c r="W26" s="7"/>
      <c r="X26" s="7"/>
      <c r="Y26" s="7"/>
      <c r="AB26" s="8"/>
    </row>
    <row r="27" spans="1:28" ht="14.25" customHeight="1" x14ac:dyDescent="0.15">
      <c r="A27" s="4"/>
      <c r="F27" s="8"/>
      <c r="G27" s="256" t="s">
        <v>111</v>
      </c>
      <c r="M27" s="8"/>
      <c r="O27" s="98"/>
      <c r="P27" s="4"/>
      <c r="AB27" s="8"/>
    </row>
    <row r="28" spans="1:28" ht="14.25" customHeight="1" x14ac:dyDescent="0.2">
      <c r="A28" s="4"/>
      <c r="B28" s="10" t="s">
        <v>188</v>
      </c>
      <c r="F28" s="8"/>
      <c r="G28" s="4"/>
      <c r="I28" s="224" t="s">
        <v>193</v>
      </c>
      <c r="J28" s="225" t="s">
        <v>195</v>
      </c>
      <c r="M28" s="8"/>
      <c r="O28" s="98"/>
      <c r="P28" s="4"/>
      <c r="R28" s="215" t="s">
        <v>184</v>
      </c>
      <c r="U28" s="215" t="s">
        <v>185</v>
      </c>
      <c r="AB28" s="8"/>
    </row>
    <row r="29" spans="1:28" x14ac:dyDescent="0.15">
      <c r="A29" s="4"/>
      <c r="B29" s="253">
        <v>1.5</v>
      </c>
      <c r="C29" s="253">
        <v>1.8</v>
      </c>
      <c r="D29" s="253">
        <v>2</v>
      </c>
      <c r="E29" s="253">
        <v>2.5</v>
      </c>
      <c r="F29" s="253">
        <f>E29+0.5</f>
        <v>3</v>
      </c>
      <c r="G29" s="4"/>
      <c r="I29" s="226" t="s">
        <v>14</v>
      </c>
      <c r="J29" s="226" t="s">
        <v>191</v>
      </c>
      <c r="M29" s="8"/>
      <c r="P29" s="4"/>
      <c r="AB29" s="8"/>
    </row>
    <row r="30" spans="1:28" ht="15.75" customHeight="1" x14ac:dyDescent="0.15">
      <c r="A30" s="4"/>
      <c r="B30" s="10"/>
      <c r="F30" s="8"/>
      <c r="G30" s="4"/>
      <c r="I30" s="258">
        <v>0</v>
      </c>
      <c r="J30" s="259">
        <v>50</v>
      </c>
      <c r="M30" s="8"/>
      <c r="P30" s="4"/>
      <c r="AB30" s="8"/>
    </row>
    <row r="31" spans="1:28" ht="14" thickBot="1" x14ac:dyDescent="0.2">
      <c r="A31" s="4"/>
      <c r="B31" s="10" t="s">
        <v>98</v>
      </c>
      <c r="C31" s="98"/>
      <c r="F31" s="8"/>
      <c r="G31" s="4"/>
      <c r="I31" s="258">
        <v>10</v>
      </c>
      <c r="J31" s="259">
        <v>150</v>
      </c>
      <c r="M31" s="8"/>
      <c r="P31" s="5"/>
      <c r="Q31" s="6"/>
      <c r="R31" s="6"/>
      <c r="S31" s="6"/>
      <c r="T31" s="6"/>
      <c r="U31" s="6"/>
      <c r="V31" s="6"/>
      <c r="W31" s="6"/>
      <c r="X31" s="6"/>
      <c r="Y31" s="6"/>
      <c r="Z31" s="6"/>
      <c r="AA31" s="6"/>
      <c r="AB31" s="9"/>
    </row>
    <row r="32" spans="1:28" ht="14" thickBot="1" x14ac:dyDescent="0.2">
      <c r="A32" s="4"/>
      <c r="B32" t="s">
        <v>86</v>
      </c>
      <c r="C32" s="254">
        <v>0.5</v>
      </c>
      <c r="D32" t="s">
        <v>14</v>
      </c>
      <c r="F32" s="8"/>
      <c r="G32" s="4"/>
      <c r="M32" s="8"/>
      <c r="O32" s="98"/>
    </row>
    <row r="33" spans="1:49" ht="12" customHeight="1" x14ac:dyDescent="0.15">
      <c r="A33" s="4"/>
      <c r="F33" s="8"/>
      <c r="G33" s="230" t="s">
        <v>91</v>
      </c>
      <c r="M33" s="8"/>
      <c r="O33" s="98"/>
      <c r="P33" s="14" t="s">
        <v>90</v>
      </c>
      <c r="Q33" s="11"/>
      <c r="R33" s="12"/>
      <c r="S33" s="11"/>
      <c r="T33" s="12"/>
      <c r="U33" s="12"/>
      <c r="V33" s="12"/>
      <c r="W33" s="11"/>
      <c r="X33" s="12"/>
      <c r="Y33" s="11"/>
      <c r="Z33" s="12"/>
      <c r="AA33" s="12"/>
      <c r="AB33" s="13"/>
      <c r="AD33" t="s">
        <v>186</v>
      </c>
      <c r="AE33" s="315">
        <v>100</v>
      </c>
      <c r="AF33" t="s">
        <v>14</v>
      </c>
    </row>
    <row r="34" spans="1:49" ht="15" customHeight="1" thickBot="1" x14ac:dyDescent="0.2">
      <c r="A34" s="4"/>
      <c r="B34" s="10" t="s">
        <v>16</v>
      </c>
      <c r="F34" s="8"/>
      <c r="G34" s="235" t="s">
        <v>88</v>
      </c>
      <c r="H34" s="255">
        <v>18</v>
      </c>
      <c r="I34" t="s">
        <v>93</v>
      </c>
      <c r="J34" s="124" t="s">
        <v>201</v>
      </c>
      <c r="M34" s="8"/>
      <c r="O34" s="98"/>
      <c r="P34" s="4"/>
      <c r="AB34" s="8"/>
    </row>
    <row r="35" spans="1:49" ht="15" customHeight="1" x14ac:dyDescent="0.2">
      <c r="A35" s="4"/>
      <c r="B35" s="255">
        <v>6.6</v>
      </c>
      <c r="C35" t="s">
        <v>14</v>
      </c>
      <c r="F35" s="8"/>
      <c r="G35" s="235" t="s">
        <v>116</v>
      </c>
      <c r="H35" s="255">
        <v>18</v>
      </c>
      <c r="I35" t="s">
        <v>93</v>
      </c>
      <c r="M35" s="8"/>
      <c r="O35" s="98"/>
      <c r="P35" s="4"/>
      <c r="T35" s="376" t="s">
        <v>212</v>
      </c>
      <c r="U35" s="162" t="s">
        <v>12</v>
      </c>
      <c r="V35" s="162" t="s">
        <v>13</v>
      </c>
      <c r="W35" s="162" t="s">
        <v>15</v>
      </c>
      <c r="X35" s="370" t="s">
        <v>211</v>
      </c>
      <c r="Y35" s="368" t="s">
        <v>167</v>
      </c>
      <c r="AB35" s="8"/>
    </row>
    <row r="36" spans="1:49" ht="12" customHeight="1" thickBot="1" x14ac:dyDescent="0.25">
      <c r="A36" s="4"/>
      <c r="B36" t="s">
        <v>117</v>
      </c>
      <c r="F36" s="8"/>
      <c r="G36" s="4"/>
      <c r="M36" s="8"/>
      <c r="O36" s="98"/>
      <c r="P36" s="4"/>
      <c r="T36" s="377"/>
      <c r="U36" s="163" t="s">
        <v>14</v>
      </c>
      <c r="V36" s="161" t="s">
        <v>14</v>
      </c>
      <c r="W36" s="163" t="s">
        <v>14</v>
      </c>
      <c r="X36" s="371"/>
      <c r="Y36" s="369"/>
      <c r="AB36" s="8"/>
      <c r="AD36" t="s">
        <v>168</v>
      </c>
      <c r="AE36" s="315">
        <v>0.82567219219510746</v>
      </c>
      <c r="AG36" t="s">
        <v>171</v>
      </c>
      <c r="AH36" t="s">
        <v>165</v>
      </c>
      <c r="AI36" s="214" t="s">
        <v>172</v>
      </c>
      <c r="AJ36" s="214" t="s">
        <v>173</v>
      </c>
      <c r="AK36" s="214" t="s">
        <v>167</v>
      </c>
      <c r="AL36" s="214" t="s">
        <v>175</v>
      </c>
      <c r="AM36" s="214" t="s">
        <v>174</v>
      </c>
      <c r="AN36" s="120" t="s">
        <v>176</v>
      </c>
      <c r="AO36" s="120" t="s">
        <v>177</v>
      </c>
      <c r="AP36" s="120" t="s">
        <v>178</v>
      </c>
      <c r="AQ36" s="120" t="s">
        <v>179</v>
      </c>
      <c r="AR36" s="210" t="s">
        <v>180</v>
      </c>
      <c r="AS36" s="210" t="s">
        <v>181</v>
      </c>
      <c r="AT36" t="s">
        <v>182</v>
      </c>
    </row>
    <row r="37" spans="1:49" ht="15" x14ac:dyDescent="0.2">
      <c r="A37" s="4"/>
      <c r="B37" s="252" t="s">
        <v>111</v>
      </c>
      <c r="C37" t="s">
        <v>189</v>
      </c>
      <c r="D37" s="252">
        <v>0.4</v>
      </c>
      <c r="F37" s="8"/>
      <c r="G37" s="4"/>
      <c r="I37" s="225" t="s">
        <v>192</v>
      </c>
      <c r="J37" s="225" t="s">
        <v>196</v>
      </c>
      <c r="K37" s="227" t="s">
        <v>198</v>
      </c>
      <c r="M37" s="8"/>
      <c r="P37" s="4"/>
      <c r="S37" s="164" t="s">
        <v>7</v>
      </c>
      <c r="T37" s="260"/>
      <c r="U37" s="261">
        <v>0</v>
      </c>
      <c r="V37" s="327">
        <v>2.5</v>
      </c>
      <c r="W37" s="248">
        <f>V37-U37</f>
        <v>2.5</v>
      </c>
      <c r="X37" s="265">
        <v>15</v>
      </c>
      <c r="Y37" s="266">
        <v>0.3</v>
      </c>
      <c r="AB37" s="8"/>
      <c r="AD37" t="s">
        <v>165</v>
      </c>
      <c r="AE37" s="316">
        <v>3</v>
      </c>
      <c r="AF37" t="s">
        <v>7</v>
      </c>
      <c r="AG37" s="21">
        <f>1-Y37^2</f>
        <v>0.91</v>
      </c>
      <c r="AH37" s="21">
        <f>1-Y37-Y37^2</f>
        <v>0.61</v>
      </c>
      <c r="AI37" s="21">
        <f>U37/$AE$37</f>
        <v>0</v>
      </c>
      <c r="AJ37" s="21">
        <f>V37/$AE$37</f>
        <v>0.83333333333333337</v>
      </c>
      <c r="AK37" s="98">
        <f>AE$38/AE$37</f>
        <v>33.333333333333336</v>
      </c>
      <c r="AL37" s="98">
        <f>(1+$AK37^2+AI37^2)^(1/2)</f>
        <v>33.348329959851235</v>
      </c>
      <c r="AM37" s="98">
        <f>(1+$AK37^2+AJ37^2)^(1/2)</f>
        <v>33.358740317277501</v>
      </c>
      <c r="AN37" s="98">
        <f t="shared" ref="AN37:AO41" si="0">1/PI()*(LN((AL37+$AK37)/(AL37-$AK37))+$AK37*LN((AL37+1)/(AL37-1)))</f>
        <v>3.3102827998761364</v>
      </c>
      <c r="AO37" s="98">
        <f t="shared" si="0"/>
        <v>3.1423211338901771</v>
      </c>
      <c r="AP37" s="98">
        <f>AI37/2</f>
        <v>0</v>
      </c>
      <c r="AQ37" s="98">
        <f>AJ37/PI()*ATAN($AK37/(AM37*AJ37))</f>
        <v>0.23228221242512745</v>
      </c>
      <c r="AR37" s="98">
        <f t="shared" ref="AR37:AS41" si="1">$AE$36*$AE$37/(2*$X37)*($AG37*AN37-$AH37*AP37)</f>
        <v>0.2487219695105134</v>
      </c>
      <c r="AS37" s="98">
        <f t="shared" si="1"/>
        <v>0.22440284653121076</v>
      </c>
      <c r="AT37" s="98">
        <f>IF(X37="","",(AR37-AS37)*100)</f>
        <v>2.4319122979302636</v>
      </c>
      <c r="AU37" s="98"/>
      <c r="AW37" s="98"/>
    </row>
    <row r="38" spans="1:49" ht="12.75" customHeight="1" x14ac:dyDescent="0.15">
      <c r="A38" s="4"/>
      <c r="B38" s="49" t="s">
        <v>118</v>
      </c>
      <c r="D38" s="219"/>
      <c r="F38" s="8"/>
      <c r="G38" s="4"/>
      <c r="H38" s="222"/>
      <c r="I38" s="226" t="s">
        <v>14</v>
      </c>
      <c r="J38" s="226" t="s">
        <v>191</v>
      </c>
      <c r="K38" s="226" t="s">
        <v>199</v>
      </c>
      <c r="M38" s="8"/>
      <c r="P38" s="4"/>
      <c r="S38" s="82" t="s">
        <v>8</v>
      </c>
      <c r="T38" s="260"/>
      <c r="U38" s="261">
        <v>2.5</v>
      </c>
      <c r="V38" s="327">
        <v>10</v>
      </c>
      <c r="W38" s="249">
        <f>V38-U38</f>
        <v>7.5</v>
      </c>
      <c r="X38" s="265">
        <v>1200</v>
      </c>
      <c r="Y38" s="266">
        <v>0.2</v>
      </c>
      <c r="AB38" s="8"/>
      <c r="AD38" t="s">
        <v>166</v>
      </c>
      <c r="AE38" s="246">
        <v>100</v>
      </c>
      <c r="AF38" t="s">
        <v>8</v>
      </c>
      <c r="AG38" s="21">
        <f>1-Y38^2</f>
        <v>0.96</v>
      </c>
      <c r="AH38" s="21">
        <f>1-Y38-Y38^2</f>
        <v>0.76</v>
      </c>
      <c r="AI38" s="21">
        <f t="shared" ref="AI38:AJ41" si="2">U38/$AE$37</f>
        <v>0.83333333333333337</v>
      </c>
      <c r="AJ38" s="21">
        <f t="shared" si="2"/>
        <v>3.3333333333333335</v>
      </c>
      <c r="AK38" s="98">
        <f>AE$38/AE$37</f>
        <v>33.333333333333336</v>
      </c>
      <c r="AL38" s="98">
        <f t="shared" ref="AL38:AM41" si="3">(1+$AK38^2+AI38^2)^(1/2)</f>
        <v>33.358740317277501</v>
      </c>
      <c r="AM38" s="98">
        <f t="shared" si="3"/>
        <v>33.514507638069553</v>
      </c>
      <c r="AN38" s="98">
        <f t="shared" si="0"/>
        <v>3.1423211338901771</v>
      </c>
      <c r="AO38" s="98">
        <f t="shared" si="0"/>
        <v>2.5148052349106069</v>
      </c>
      <c r="AP38" s="98">
        <f>AI38/PI()*ATAN($AK38/(AL38*AI38))</f>
        <v>0.23228221242512745</v>
      </c>
      <c r="AQ38" s="98">
        <f>AJ38/PI()*ATAN($AK38/(AM38*AJ38))</f>
        <v>0.30766590422387868</v>
      </c>
      <c r="AR38" s="98">
        <f t="shared" si="1"/>
        <v>2.9312330996762066E-3</v>
      </c>
      <c r="AS38" s="98">
        <f t="shared" si="1"/>
        <v>2.2503560789788385E-3</v>
      </c>
      <c r="AT38" s="98">
        <f>IF(X38="","",(AR38-AS38)*100)</f>
        <v>6.8087702069736813E-2</v>
      </c>
      <c r="AU38" s="98"/>
      <c r="AW38" s="98"/>
    </row>
    <row r="39" spans="1:49" ht="13.5" customHeight="1" x14ac:dyDescent="0.15">
      <c r="A39" s="4"/>
      <c r="E39" s="121"/>
      <c r="F39" s="8"/>
      <c r="G39" s="236"/>
      <c r="H39" s="222"/>
      <c r="I39" s="20">
        <f>B29</f>
        <v>1.5</v>
      </c>
      <c r="J39" s="20">
        <f>IF(AND(G$27="Si",B$23="Transitoria a corto plazo (sin drenaje)"),MIN(2*$J30,($J31-$J30)/($I31-$I30)*($C32+I39/4)+$J30),$H24)</f>
        <v>0</v>
      </c>
      <c r="K39" s="20">
        <f>IF($B$37="No",$H34+MAX(0,MIN($B35-$C32,I39))/I39*($H35-$H34),$H34-$D37*10)</f>
        <v>18</v>
      </c>
      <c r="M39" s="8"/>
      <c r="N39" s="101"/>
      <c r="P39" s="4"/>
      <c r="S39" s="82" t="s">
        <v>9</v>
      </c>
      <c r="T39" s="260"/>
      <c r="U39" s="261"/>
      <c r="V39" s="327"/>
      <c r="W39" s="249">
        <f>V39-U39</f>
        <v>0</v>
      </c>
      <c r="X39" s="265"/>
      <c r="Y39" s="266"/>
      <c r="AB39" s="8"/>
      <c r="AD39" s="210"/>
      <c r="AE39" s="98"/>
      <c r="AF39" t="s">
        <v>9</v>
      </c>
      <c r="AG39" s="21">
        <f>1-Y39^2</f>
        <v>1</v>
      </c>
      <c r="AH39" s="21">
        <f>1-Y39-Y39^2</f>
        <v>1</v>
      </c>
      <c r="AI39" s="21">
        <f t="shared" si="2"/>
        <v>0</v>
      </c>
      <c r="AJ39" s="21">
        <f t="shared" si="2"/>
        <v>0</v>
      </c>
      <c r="AK39" s="98">
        <f>AE$38/AE$37</f>
        <v>33.333333333333336</v>
      </c>
      <c r="AL39" s="98">
        <f t="shared" si="3"/>
        <v>33.348329959851235</v>
      </c>
      <c r="AM39" s="98">
        <f t="shared" si="3"/>
        <v>33.348329959851235</v>
      </c>
      <c r="AN39" s="98">
        <f t="shared" si="0"/>
        <v>3.3102827998761364</v>
      </c>
      <c r="AO39" s="98">
        <f t="shared" si="0"/>
        <v>3.3102827998761364</v>
      </c>
      <c r="AP39" s="98" t="e">
        <f>AI39/PI()*ATAN($AK39/(AL39*AI39))</f>
        <v>#DIV/0!</v>
      </c>
      <c r="AQ39" s="98" t="e">
        <f>AJ39/PI()*ATAN($AK39/(AM39*AJ39))</f>
        <v>#DIV/0!</v>
      </c>
      <c r="AR39" s="98" t="e">
        <f t="shared" si="1"/>
        <v>#DIV/0!</v>
      </c>
      <c r="AS39" s="98" t="e">
        <f t="shared" si="1"/>
        <v>#DIV/0!</v>
      </c>
      <c r="AT39" s="98" t="str">
        <f>IF(X39="","",(AR39-AS39)*100)</f>
        <v/>
      </c>
      <c r="AU39" s="98"/>
      <c r="AW39" s="98"/>
    </row>
    <row r="40" spans="1:49" ht="13.5" customHeight="1" x14ac:dyDescent="0.15">
      <c r="A40" s="4"/>
      <c r="B40" s="10" t="s">
        <v>112</v>
      </c>
      <c r="C40" s="10"/>
      <c r="F40" s="8"/>
      <c r="G40" s="237"/>
      <c r="H40" s="218"/>
      <c r="I40" s="20">
        <f>C29</f>
        <v>1.8</v>
      </c>
      <c r="J40" s="20">
        <f>IF(AND(G$27="Si",B$23="Transitoria a corto plazo (sin drenaje)"),MIN(2*$J30,($J31-$J30)/($I31-$I30)*($C32+I40/4)+$J30),$H24)</f>
        <v>0</v>
      </c>
      <c r="K40" s="20">
        <f>IF($B$37="No",$H34+MAX(0,MIN($B35-$C32,I40))/I40*($H35-$H34),$H34-$D37*10)</f>
        <v>18</v>
      </c>
      <c r="M40" s="8"/>
      <c r="P40" s="4"/>
      <c r="S40" s="82" t="s">
        <v>10</v>
      </c>
      <c r="T40" s="260"/>
      <c r="U40" s="261"/>
      <c r="V40" s="327"/>
      <c r="W40" s="249">
        <f>V40-U40</f>
        <v>0</v>
      </c>
      <c r="X40" s="265"/>
      <c r="Y40" s="266"/>
      <c r="AB40" s="8"/>
      <c r="AF40" t="s">
        <v>10</v>
      </c>
      <c r="AG40" s="21">
        <f>1-Y40^2</f>
        <v>1</v>
      </c>
      <c r="AH40" s="21">
        <f>1-Y40-Y40^2</f>
        <v>1</v>
      </c>
      <c r="AI40" s="21">
        <f t="shared" si="2"/>
        <v>0</v>
      </c>
      <c r="AJ40" s="21">
        <f t="shared" si="2"/>
        <v>0</v>
      </c>
      <c r="AK40" s="98">
        <f>AE$38/AE$37</f>
        <v>33.333333333333336</v>
      </c>
      <c r="AL40" s="98">
        <f t="shared" si="3"/>
        <v>33.348329959851235</v>
      </c>
      <c r="AM40" s="98">
        <f t="shared" si="3"/>
        <v>33.348329959851235</v>
      </c>
      <c r="AN40" s="98">
        <f t="shared" si="0"/>
        <v>3.3102827998761364</v>
      </c>
      <c r="AO40" s="98">
        <f t="shared" si="0"/>
        <v>3.3102827998761364</v>
      </c>
      <c r="AP40" s="98" t="e">
        <f>AI40/PI()*ATAN($AK40/(AL40*AI40))</f>
        <v>#DIV/0!</v>
      </c>
      <c r="AQ40" s="98" t="e">
        <f>AJ40/PI()*ATAN($AK40/(AM40*AJ40))</f>
        <v>#DIV/0!</v>
      </c>
      <c r="AR40" s="98" t="e">
        <f t="shared" si="1"/>
        <v>#DIV/0!</v>
      </c>
      <c r="AS40" s="98" t="e">
        <f t="shared" si="1"/>
        <v>#DIV/0!</v>
      </c>
      <c r="AT40" s="98" t="str">
        <f>IF(X40="","",(AR40-AS40)*100)</f>
        <v/>
      </c>
      <c r="AU40" s="98"/>
      <c r="AW40" s="98"/>
    </row>
    <row r="41" spans="1:49" ht="13.5" customHeight="1" thickBot="1" x14ac:dyDescent="0.2">
      <c r="A41" s="4"/>
      <c r="B41" s="120" t="s">
        <v>87</v>
      </c>
      <c r="C41" s="254">
        <v>0</v>
      </c>
      <c r="D41" t="s">
        <v>1</v>
      </c>
      <c r="F41" s="8"/>
      <c r="G41" s="237"/>
      <c r="H41" s="218"/>
      <c r="I41" s="20">
        <f>D29</f>
        <v>2</v>
      </c>
      <c r="J41" s="20">
        <f>IF(AND(G$27="Si",B$23="Transitoria a corto plazo (sin drenaje)"),MIN(2*$J30,($J31-$J30)/($I31-$I30)*($C32+I41/4)+$J30),$H24)</f>
        <v>0</v>
      </c>
      <c r="K41" s="20">
        <f>IF($B$37="No",$H34+MAX(0,MIN($B35-$C32,I41))/I41*($H35-$H34),$H34-$D37*10)</f>
        <v>18</v>
      </c>
      <c r="M41" s="8"/>
      <c r="N41" s="97">
        <f>RADIANS(C41)</f>
        <v>0</v>
      </c>
      <c r="P41" s="4"/>
      <c r="S41" s="165" t="s">
        <v>11</v>
      </c>
      <c r="T41" s="262"/>
      <c r="U41" s="263"/>
      <c r="V41" s="264"/>
      <c r="W41" s="250">
        <f>V41-U41</f>
        <v>0</v>
      </c>
      <c r="X41" s="267"/>
      <c r="Y41" s="268"/>
      <c r="AB41" s="8"/>
      <c r="AF41" t="s">
        <v>11</v>
      </c>
      <c r="AG41" s="21">
        <f>1-Y41^2</f>
        <v>1</v>
      </c>
      <c r="AH41" s="21">
        <f>1-Y41-Y41^2</f>
        <v>1</v>
      </c>
      <c r="AI41" s="21">
        <f t="shared" si="2"/>
        <v>0</v>
      </c>
      <c r="AJ41" s="21">
        <f t="shared" si="2"/>
        <v>0</v>
      </c>
      <c r="AK41" s="98">
        <f>AE$38/AE$37</f>
        <v>33.333333333333336</v>
      </c>
      <c r="AL41" s="98">
        <f t="shared" si="3"/>
        <v>33.348329959851235</v>
      </c>
      <c r="AM41" s="98">
        <f t="shared" si="3"/>
        <v>33.348329959851235</v>
      </c>
      <c r="AN41" s="98">
        <f t="shared" si="0"/>
        <v>3.3102827998761364</v>
      </c>
      <c r="AO41" s="98">
        <f t="shared" si="0"/>
        <v>3.3102827998761364</v>
      </c>
      <c r="AP41" s="98" t="e">
        <f>AI41/PI()*ATAN($AK41/(AL41*AI41))</f>
        <v>#DIV/0!</v>
      </c>
      <c r="AQ41" s="98" t="e">
        <f>AJ41/PI()*ATAN($AK41/(AM41*AJ41))</f>
        <v>#DIV/0!</v>
      </c>
      <c r="AR41" s="98" t="e">
        <f t="shared" si="1"/>
        <v>#DIV/0!</v>
      </c>
      <c r="AS41" s="98" t="e">
        <f t="shared" si="1"/>
        <v>#DIV/0!</v>
      </c>
      <c r="AT41" s="98" t="str">
        <f>IF(X41="","",(AR41-AS41)*100)</f>
        <v/>
      </c>
      <c r="AU41" s="98"/>
      <c r="AW41" s="98"/>
    </row>
    <row r="42" spans="1:49" ht="13.5" customHeight="1" thickBot="1" x14ac:dyDescent="0.2">
      <c r="A42" s="4"/>
      <c r="B42" s="124" t="s">
        <v>126</v>
      </c>
      <c r="F42" s="8"/>
      <c r="G42" s="4"/>
      <c r="I42" s="20">
        <f>E29</f>
        <v>2.5</v>
      </c>
      <c r="J42" s="20">
        <f>IF(AND(G$27="Si",B$23="Transitoria a corto plazo (sin drenaje)"),MIN(2*$J30,($J31-$J30)/($I31-$I30)*($C32+I42/4)+$J30),$H24)</f>
        <v>0</v>
      </c>
      <c r="K42" s="20">
        <f>IF($B$37="No",$H34+MAX(0,MIN($B35-$C32,I42))/I42*($H35-$H34),$H34-$D37*10)</f>
        <v>18</v>
      </c>
      <c r="M42" s="8"/>
      <c r="P42" s="4"/>
      <c r="V42" s="308" t="s">
        <v>235</v>
      </c>
      <c r="W42" s="309">
        <f>SUM(W37:W41)</f>
        <v>10</v>
      </c>
      <c r="AB42" s="8"/>
      <c r="AE42" s="21"/>
      <c r="AK42" s="98"/>
      <c r="AL42" s="98"/>
      <c r="AM42" s="98"/>
      <c r="AN42" s="98"/>
      <c r="AO42" s="98"/>
      <c r="AR42" s="98"/>
      <c r="AS42" s="98" t="s">
        <v>183</v>
      </c>
      <c r="AT42" s="245">
        <f>SUM(AT37:AT41)</f>
        <v>2.5000000000000004</v>
      </c>
      <c r="AU42" s="98" t="s">
        <v>164</v>
      </c>
      <c r="AV42" s="98"/>
    </row>
    <row r="43" spans="1:49" ht="13.5" customHeight="1" thickBot="1" x14ac:dyDescent="0.2">
      <c r="A43" s="4"/>
      <c r="F43" s="8"/>
      <c r="G43" s="4"/>
      <c r="I43" s="20">
        <f>F29</f>
        <v>3</v>
      </c>
      <c r="J43" s="20">
        <f>IF(AND(G$27="Si",B$23="Transitoria a corto plazo (sin drenaje)"),MIN(2*$J30,($J31-$J30)/($I31-$I30)*($C32+I43/4)+$J30),$H24)</f>
        <v>0</v>
      </c>
      <c r="K43" s="20">
        <f>IF($B$37="No",$H34+MAX(0,MIN($B35-$C32,I43))/I43*($H35-$H34),$H34-$D37*10)</f>
        <v>18</v>
      </c>
      <c r="M43" s="8"/>
      <c r="P43" s="6"/>
      <c r="Q43" s="6"/>
      <c r="R43" s="6"/>
      <c r="S43" s="6"/>
      <c r="T43" s="6"/>
      <c r="U43" s="6"/>
      <c r="V43" s="322"/>
      <c r="W43" s="323"/>
      <c r="X43" s="6"/>
      <c r="Y43" s="6"/>
      <c r="Z43" s="6"/>
      <c r="AA43" s="6"/>
      <c r="AB43" s="6"/>
    </row>
    <row r="44" spans="1:49" ht="13.5" customHeight="1" thickBot="1" x14ac:dyDescent="0.2">
      <c r="A44" s="4"/>
      <c r="B44" t="s">
        <v>128</v>
      </c>
      <c r="F44" s="229"/>
      <c r="G44" s="4"/>
      <c r="J44" s="223"/>
      <c r="K44" s="223"/>
      <c r="L44" s="223"/>
      <c r="M44" s="8"/>
      <c r="P44" s="32"/>
      <c r="Q44" s="32"/>
      <c r="R44" s="32"/>
      <c r="S44" s="32"/>
      <c r="T44" s="32"/>
      <c r="U44" s="32"/>
      <c r="V44" s="32"/>
      <c r="W44" s="32"/>
      <c r="X44" s="32"/>
      <c r="Y44" s="32"/>
      <c r="Z44" s="32"/>
      <c r="AA44" s="32"/>
      <c r="AB44" s="32"/>
    </row>
    <row r="45" spans="1:49" ht="12.75" customHeight="1" thickBot="1" x14ac:dyDescent="0.2">
      <c r="A45" s="4"/>
      <c r="B45" s="252" t="s">
        <v>111</v>
      </c>
      <c r="F45" s="8"/>
      <c r="G45" s="230" t="s">
        <v>202</v>
      </c>
      <c r="J45" s="223"/>
      <c r="K45" s="223"/>
      <c r="L45" s="223"/>
      <c r="M45" s="8"/>
      <c r="P45" s="14" t="s">
        <v>214</v>
      </c>
      <c r="Q45" s="11"/>
      <c r="R45" s="12"/>
      <c r="S45" s="11"/>
      <c r="T45" s="12"/>
      <c r="U45" s="12"/>
      <c r="V45" s="12"/>
      <c r="W45" s="11"/>
      <c r="X45" s="12"/>
      <c r="Y45" s="11"/>
      <c r="Z45" s="12"/>
      <c r="AA45" s="12"/>
      <c r="AB45" s="13"/>
    </row>
    <row r="46" spans="1:49" ht="16.5" customHeight="1" x14ac:dyDescent="0.2">
      <c r="A46" s="4"/>
      <c r="B46" s="374" t="s">
        <v>127</v>
      </c>
      <c r="C46" s="374"/>
      <c r="D46" s="374"/>
      <c r="E46" s="374"/>
      <c r="F46" s="375"/>
      <c r="G46" s="102" t="s">
        <v>124</v>
      </c>
      <c r="H46" s="123"/>
      <c r="I46" s="257" t="s">
        <v>247</v>
      </c>
      <c r="J46" s="120" t="s">
        <v>203</v>
      </c>
      <c r="K46" s="255">
        <v>18</v>
      </c>
      <c r="L46" t="s">
        <v>93</v>
      </c>
      <c r="M46" s="8"/>
      <c r="P46" s="4"/>
      <c r="Q46" s="62" t="s">
        <v>169</v>
      </c>
      <c r="R46" s="146"/>
      <c r="AB46" s="8"/>
      <c r="AE46" s="98"/>
      <c r="AG46" s="98"/>
    </row>
    <row r="47" spans="1:49" ht="14.25" customHeight="1" thickBot="1" x14ac:dyDescent="0.2">
      <c r="A47" s="4"/>
      <c r="B47" s="374"/>
      <c r="C47" s="374"/>
      <c r="D47" s="374"/>
      <c r="E47" s="374"/>
      <c r="F47" s="375"/>
      <c r="J47" t="s">
        <v>204</v>
      </c>
      <c r="K47" s="254">
        <v>0.5</v>
      </c>
      <c r="L47" t="s">
        <v>14</v>
      </c>
      <c r="M47" s="8"/>
      <c r="O47" s="98"/>
      <c r="P47" s="4"/>
      <c r="Q47" s="280">
        <v>5</v>
      </c>
      <c r="R47" s="281" t="s">
        <v>164</v>
      </c>
      <c r="AB47" s="8"/>
    </row>
    <row r="48" spans="1:49" ht="14.25" customHeight="1" thickBot="1" x14ac:dyDescent="0.25">
      <c r="A48" s="4"/>
      <c r="B48" t="s">
        <v>125</v>
      </c>
      <c r="C48" s="245">
        <f>2*N41*H24</f>
        <v>0</v>
      </c>
      <c r="D48" t="s">
        <v>6</v>
      </c>
      <c r="F48" s="8"/>
      <c r="J48" t="s">
        <v>94</v>
      </c>
      <c r="K48" s="246">
        <f>IF(I46="Si",K46*K47,0)</f>
        <v>9</v>
      </c>
      <c r="L48" t="s">
        <v>6</v>
      </c>
      <c r="M48" s="8"/>
      <c r="O48" s="98"/>
      <c r="P48" s="4"/>
    </row>
    <row r="49" spans="1:42" ht="14.25" customHeight="1" x14ac:dyDescent="0.15">
      <c r="A49" s="4"/>
      <c r="F49" s="8"/>
      <c r="G49" s="378" t="s">
        <v>205</v>
      </c>
      <c r="H49" s="372"/>
      <c r="I49" s="372"/>
      <c r="J49" s="372"/>
      <c r="K49" s="372"/>
      <c r="L49" s="372"/>
      <c r="M49" s="373"/>
      <c r="O49" s="98"/>
      <c r="P49" s="4"/>
      <c r="Q49" s="360" t="s">
        <v>120</v>
      </c>
      <c r="R49" s="143" t="s">
        <v>122</v>
      </c>
      <c r="S49" s="153"/>
      <c r="T49" s="143" t="s">
        <v>121</v>
      </c>
      <c r="U49" s="153"/>
      <c r="V49" s="319"/>
      <c r="AC49" s="98"/>
      <c r="AE49" s="98"/>
    </row>
    <row r="50" spans="1:42" ht="14.25" customHeight="1" x14ac:dyDescent="0.15">
      <c r="A50" s="4"/>
      <c r="B50" s="10" t="s">
        <v>206</v>
      </c>
      <c r="C50" s="21"/>
      <c r="F50" s="8"/>
      <c r="G50" s="378"/>
      <c r="H50" s="372"/>
      <c r="I50" s="372"/>
      <c r="J50" s="372"/>
      <c r="K50" s="372"/>
      <c r="L50" s="372"/>
      <c r="M50" s="373"/>
      <c r="O50" s="98"/>
      <c r="P50" s="4"/>
      <c r="Q50" s="361"/>
      <c r="R50" s="212" t="s">
        <v>85</v>
      </c>
      <c r="S50" s="216"/>
      <c r="T50" s="147" t="s">
        <v>85</v>
      </c>
      <c r="U50" s="154"/>
      <c r="V50" s="320" t="s">
        <v>237</v>
      </c>
    </row>
    <row r="51" spans="1:42" ht="14.25" customHeight="1" x14ac:dyDescent="0.15">
      <c r="A51" s="4"/>
      <c r="B51" s="357" t="s">
        <v>245</v>
      </c>
      <c r="C51" s="357"/>
      <c r="E51" s="122"/>
      <c r="F51" s="8"/>
      <c r="G51" s="4"/>
      <c r="L51" s="35"/>
      <c r="M51" s="8"/>
      <c r="O51" s="98"/>
      <c r="P51" s="4"/>
      <c r="Q51" s="208" t="s">
        <v>14</v>
      </c>
      <c r="R51" s="213" t="s">
        <v>0</v>
      </c>
      <c r="S51" s="216"/>
      <c r="T51" s="182" t="s">
        <v>0</v>
      </c>
      <c r="U51" s="324"/>
      <c r="V51" s="321"/>
      <c r="AC51" s="21"/>
      <c r="AD51" s="21"/>
    </row>
    <row r="52" spans="1:42" ht="14.25" customHeight="1" x14ac:dyDescent="0.2">
      <c r="A52" s="4"/>
      <c r="B52" s="120" t="s">
        <v>207</v>
      </c>
      <c r="C52">
        <f>IF(B51="Situación extraordinaria",2,3)</f>
        <v>3</v>
      </c>
      <c r="E52" s="21"/>
      <c r="F52" s="234"/>
      <c r="G52" s="230" t="s">
        <v>123</v>
      </c>
      <c r="H52" s="123"/>
      <c r="I52" s="123"/>
      <c r="L52" s="35"/>
      <c r="M52" s="8"/>
      <c r="O52" s="98"/>
      <c r="P52" s="4"/>
      <c r="Q52" s="69">
        <f>B88</f>
        <v>1.5</v>
      </c>
      <c r="R52" s="317">
        <v>0.92635610488778375</v>
      </c>
      <c r="S52" s="290"/>
      <c r="T52" s="317">
        <v>0.87765430907225706</v>
      </c>
      <c r="U52" s="325"/>
      <c r="V52" s="80" t="str">
        <f>IF(W$42&gt;2*Q52,"SI","NO")</f>
        <v>SI</v>
      </c>
      <c r="AF52" s="21"/>
      <c r="AG52" s="21"/>
      <c r="AH52" s="211"/>
      <c r="AI52" s="98"/>
      <c r="AK52" s="98"/>
      <c r="AL52" s="98"/>
      <c r="AN52" s="98"/>
      <c r="AO52" s="211"/>
      <c r="AP52" s="98"/>
    </row>
    <row r="53" spans="1:42" ht="14.25" customHeight="1" x14ac:dyDescent="0.15">
      <c r="A53" s="4"/>
      <c r="F53" s="8"/>
      <c r="G53" s="102" t="s">
        <v>124</v>
      </c>
      <c r="H53" s="123"/>
      <c r="I53" s="257" t="s">
        <v>111</v>
      </c>
      <c r="L53" s="35"/>
      <c r="M53" s="8"/>
      <c r="O53" s="98"/>
      <c r="P53" s="4"/>
      <c r="Q53" s="69">
        <f>B89</f>
        <v>1.8</v>
      </c>
      <c r="R53" s="317">
        <v>0.87425041291795047</v>
      </c>
      <c r="S53" s="290"/>
      <c r="T53" s="317">
        <v>0.8519097388978677</v>
      </c>
      <c r="U53" s="325"/>
      <c r="V53" s="80" t="str">
        <f>IF(W$42&gt;2*Q53,"SI","NO")</f>
        <v>SI</v>
      </c>
      <c r="AD53" s="21"/>
      <c r="AJ53" s="98"/>
      <c r="AK53" s="98"/>
      <c r="AL53" s="98"/>
      <c r="AM53" s="98"/>
      <c r="AN53" s="98"/>
    </row>
    <row r="54" spans="1:42" ht="14.25" customHeight="1" x14ac:dyDescent="0.15">
      <c r="A54" s="4"/>
      <c r="F54" s="8"/>
      <c r="G54" s="238" t="s">
        <v>100</v>
      </c>
      <c r="L54" s="35"/>
      <c r="M54" s="8"/>
      <c r="O54" s="98"/>
      <c r="P54" s="4"/>
      <c r="Q54" s="69">
        <f>B90</f>
        <v>2</v>
      </c>
      <c r="R54" s="317">
        <v>0.8519097388978677</v>
      </c>
      <c r="S54" s="290"/>
      <c r="T54" s="317">
        <v>0.84146260414038465</v>
      </c>
      <c r="U54" s="325"/>
      <c r="V54" s="80" t="str">
        <f>IF(W$42&gt;2*Q54,"SI","NO")</f>
        <v>SI</v>
      </c>
    </row>
    <row r="55" spans="1:42" ht="14.25" customHeight="1" x14ac:dyDescent="0.15">
      <c r="A55" s="4"/>
      <c r="F55" s="8"/>
      <c r="G55" s="239" t="s">
        <v>210</v>
      </c>
      <c r="H55" s="21"/>
      <c r="L55" s="35"/>
      <c r="M55" s="8"/>
      <c r="O55" s="98"/>
      <c r="P55" s="4"/>
      <c r="Q55" s="69">
        <f>B91</f>
        <v>2.5</v>
      </c>
      <c r="R55" s="317">
        <v>0.82092318403867515</v>
      </c>
      <c r="S55" s="290"/>
      <c r="T55" s="317">
        <v>0.82855879770954122</v>
      </c>
      <c r="U55" s="325"/>
      <c r="V55" s="80" t="str">
        <f>IF(W$42&gt;2*Q55,"SI","NO")</f>
        <v>SI</v>
      </c>
    </row>
    <row r="56" spans="1:42" ht="14" thickBot="1" x14ac:dyDescent="0.2">
      <c r="A56" s="4"/>
      <c r="F56" s="229"/>
      <c r="G56" s="239" t="s">
        <v>103</v>
      </c>
      <c r="J56" s="228"/>
      <c r="K56" s="228"/>
      <c r="L56" s="228"/>
      <c r="M56" s="8"/>
      <c r="P56" s="4"/>
      <c r="Q56" s="72">
        <f>B92</f>
        <v>3</v>
      </c>
      <c r="R56" s="318">
        <v>0.80870058903087527</v>
      </c>
      <c r="S56" s="291"/>
      <c r="T56" s="318">
        <v>0.82567219219510746</v>
      </c>
      <c r="U56" s="326"/>
      <c r="V56" s="81" t="str">
        <f>IF(W$42&gt;2*Q56,"SI","NO")</f>
        <v>SI</v>
      </c>
      <c r="AB56" s="8"/>
    </row>
    <row r="57" spans="1:42" x14ac:dyDescent="0.15">
      <c r="A57" s="4"/>
      <c r="E57" s="228"/>
      <c r="F57" s="229"/>
      <c r="G57" s="239" t="s">
        <v>101</v>
      </c>
      <c r="J57" s="228"/>
      <c r="K57" s="228"/>
      <c r="L57" s="228"/>
      <c r="M57" s="8"/>
      <c r="P57" s="4"/>
      <c r="AB57" s="8"/>
    </row>
    <row r="58" spans="1:42" ht="12.75" customHeight="1" x14ac:dyDescent="0.15">
      <c r="A58" s="4"/>
      <c r="F58" s="8"/>
      <c r="G58" s="239" t="s">
        <v>102</v>
      </c>
      <c r="J58" s="123"/>
      <c r="K58" s="123"/>
      <c r="L58" s="35"/>
      <c r="M58" s="8"/>
      <c r="P58" s="4"/>
      <c r="AB58" s="8"/>
    </row>
    <row r="59" spans="1:42" ht="12.75" customHeight="1" thickBot="1" x14ac:dyDescent="0.2">
      <c r="A59" s="5"/>
      <c r="B59" s="6"/>
      <c r="C59" s="6"/>
      <c r="D59" s="6"/>
      <c r="E59" s="6"/>
      <c r="F59" s="9"/>
      <c r="G59" s="240"/>
      <c r="H59" s="241"/>
      <c r="I59" s="241"/>
      <c r="J59" s="241"/>
      <c r="K59" s="241"/>
      <c r="L59" s="242"/>
      <c r="M59" s="9"/>
      <c r="N59" s="97"/>
      <c r="P59" s="4"/>
      <c r="AB59" s="8"/>
    </row>
    <row r="60" spans="1:42" ht="12.75" customHeight="1" thickBot="1" x14ac:dyDescent="0.2">
      <c r="A60" s="32"/>
      <c r="B60" s="32"/>
      <c r="C60" s="32"/>
      <c r="D60" s="32"/>
      <c r="E60" s="32"/>
      <c r="F60" s="32"/>
      <c r="G60" s="32"/>
      <c r="H60" s="32"/>
      <c r="I60" s="32"/>
      <c r="J60" s="32"/>
      <c r="K60" s="32"/>
      <c r="L60" s="32"/>
      <c r="M60" s="32"/>
      <c r="N60" s="97"/>
      <c r="P60" s="32"/>
      <c r="Q60" s="32"/>
      <c r="R60" s="32"/>
      <c r="S60" s="32"/>
      <c r="T60" s="32"/>
      <c r="U60" s="32"/>
      <c r="V60" s="32"/>
      <c r="W60" s="32"/>
      <c r="X60" s="32"/>
      <c r="Y60" s="32"/>
      <c r="Z60" s="32"/>
      <c r="AA60" s="32"/>
      <c r="AB60" s="32"/>
    </row>
    <row r="61" spans="1:42" ht="12.75" customHeight="1" x14ac:dyDescent="0.15">
      <c r="A61" s="14" t="s">
        <v>97</v>
      </c>
      <c r="B61" s="11"/>
      <c r="C61" s="12"/>
      <c r="D61" s="11"/>
      <c r="E61" s="12"/>
      <c r="F61" s="12"/>
      <c r="G61" s="12"/>
      <c r="H61" s="11"/>
      <c r="I61" s="12"/>
      <c r="J61" s="11"/>
      <c r="K61" s="12"/>
      <c r="L61" s="12"/>
      <c r="M61" s="3"/>
      <c r="N61" s="97"/>
      <c r="P61" s="243" t="s">
        <v>213</v>
      </c>
      <c r="Q61" s="11"/>
      <c r="R61" s="12"/>
      <c r="S61" s="11"/>
      <c r="T61" s="12"/>
      <c r="U61" s="12"/>
      <c r="V61" s="12"/>
      <c r="W61" s="11"/>
      <c r="X61" s="12"/>
      <c r="Y61" s="11"/>
      <c r="Z61" s="12"/>
      <c r="AA61" s="12"/>
      <c r="AB61" s="13"/>
    </row>
    <row r="62" spans="1:42" ht="12.75" customHeight="1" thickBot="1" x14ac:dyDescent="0.2">
      <c r="A62" s="4"/>
      <c r="M62" s="8"/>
      <c r="P62" s="4"/>
      <c r="Q62" s="10"/>
      <c r="AB62" s="8"/>
    </row>
    <row r="63" spans="1:42" ht="14" thickBot="1" x14ac:dyDescent="0.2">
      <c r="A63" s="4"/>
      <c r="C63" s="108" t="s">
        <v>114</v>
      </c>
      <c r="D63" s="109"/>
      <c r="E63" s="109"/>
      <c r="F63" s="109"/>
      <c r="G63" s="109"/>
      <c r="H63" s="116" t="s">
        <v>115</v>
      </c>
      <c r="I63" s="110"/>
      <c r="J63" s="109"/>
      <c r="K63" s="109"/>
      <c r="L63" s="111"/>
      <c r="M63" s="8"/>
      <c r="P63" s="4"/>
      <c r="T63" s="360" t="s">
        <v>120</v>
      </c>
      <c r="U63" s="143" t="s">
        <v>122</v>
      </c>
      <c r="V63" s="153"/>
      <c r="W63" s="143" t="s">
        <v>121</v>
      </c>
      <c r="X63" s="146"/>
      <c r="AB63" s="8"/>
    </row>
    <row r="64" spans="1:42" ht="12.75" customHeight="1" x14ac:dyDescent="0.15">
      <c r="A64" s="4"/>
      <c r="B64" s="117" t="s">
        <v>129</v>
      </c>
      <c r="C64" s="130">
        <f>B$29</f>
        <v>1.5</v>
      </c>
      <c r="D64" s="131">
        <f>C$29</f>
        <v>1.8</v>
      </c>
      <c r="E64" s="131">
        <f>D$29</f>
        <v>2</v>
      </c>
      <c r="F64" s="131">
        <f>E$29</f>
        <v>2.5</v>
      </c>
      <c r="G64" s="132">
        <f>F$29</f>
        <v>3</v>
      </c>
      <c r="H64" s="131">
        <f>B$29</f>
        <v>1.5</v>
      </c>
      <c r="I64" s="131">
        <f>C$29</f>
        <v>1.8</v>
      </c>
      <c r="J64" s="131">
        <f>D$29</f>
        <v>2</v>
      </c>
      <c r="K64" s="131">
        <f>E$29</f>
        <v>2.5</v>
      </c>
      <c r="L64" s="133">
        <f>F$29</f>
        <v>3</v>
      </c>
      <c r="M64" s="8"/>
      <c r="P64" s="4"/>
      <c r="T64" s="361"/>
      <c r="U64" s="147" t="s">
        <v>85</v>
      </c>
      <c r="V64" s="365" t="s">
        <v>170</v>
      </c>
      <c r="W64" s="147" t="s">
        <v>85</v>
      </c>
      <c r="X64" s="358" t="s">
        <v>170</v>
      </c>
      <c r="AB64" s="8"/>
    </row>
    <row r="65" spans="1:28" ht="12.75" customHeight="1" x14ac:dyDescent="0.15">
      <c r="A65" s="4"/>
      <c r="B65" s="107" t="s">
        <v>110</v>
      </c>
      <c r="C65" s="106"/>
      <c r="D65" s="103"/>
      <c r="E65" s="103"/>
      <c r="F65" s="103"/>
      <c r="G65" s="103"/>
      <c r="H65" s="103"/>
      <c r="I65" s="103"/>
      <c r="J65" s="103"/>
      <c r="K65" s="103"/>
      <c r="L65" s="104"/>
      <c r="M65" s="8"/>
      <c r="P65" s="4"/>
      <c r="T65" s="244" t="s">
        <v>14</v>
      </c>
      <c r="U65" s="175" t="s">
        <v>0</v>
      </c>
      <c r="V65" s="366"/>
      <c r="W65" s="175" t="s">
        <v>0</v>
      </c>
      <c r="X65" s="359"/>
      <c r="AB65" s="8"/>
    </row>
    <row r="66" spans="1:28" ht="12.75" customHeight="1" x14ac:dyDescent="0.2">
      <c r="A66" s="4"/>
      <c r="B66" s="112" t="s">
        <v>131</v>
      </c>
      <c r="C66" s="134">
        <f>IF($I53="Si",1+0.34*ATAN($C32/C64),1)</f>
        <v>1</v>
      </c>
      <c r="D66" s="134">
        <f>IF($I53="Si",1+0.34*ATAN($C32/D64),1)</f>
        <v>1</v>
      </c>
      <c r="E66" s="134">
        <f>IF($I53="Si",1+0.34*ATAN($C32/E64),1)</f>
        <v>1</v>
      </c>
      <c r="F66" s="134">
        <f>IF($I53="Si",1+0.34*ATAN($C32/F64),1)</f>
        <v>1</v>
      </c>
      <c r="G66" s="134">
        <f>IF($I53="Si",1+0.34*ATAN($C32/G64),1)</f>
        <v>1</v>
      </c>
      <c r="H66" s="135">
        <f>C66</f>
        <v>1</v>
      </c>
      <c r="I66" s="135">
        <f t="shared" ref="I66:L68" si="4">D66</f>
        <v>1</v>
      </c>
      <c r="J66" s="135">
        <f t="shared" si="4"/>
        <v>1</v>
      </c>
      <c r="K66" s="135">
        <f t="shared" si="4"/>
        <v>1</v>
      </c>
      <c r="L66" s="136">
        <f t="shared" si="4"/>
        <v>1</v>
      </c>
      <c r="M66" s="8"/>
      <c r="P66" s="4"/>
      <c r="T66" s="86">
        <f>B88</f>
        <v>1.5</v>
      </c>
      <c r="U66" s="70">
        <f>MIN(C88,R52)</f>
        <v>0.15048079832640052</v>
      </c>
      <c r="V66" s="19" t="str">
        <f>IF(R52&lt;C88,"Asientos","Hundimiento")</f>
        <v>Hundimiento</v>
      </c>
      <c r="W66" s="70">
        <f>MIN(E88,T52)</f>
        <v>0.12305872409075296</v>
      </c>
      <c r="X66" s="80" t="str">
        <f>IF(T52&lt;E88,"Asientos","Hundimiento")</f>
        <v>Hundimiento</v>
      </c>
      <c r="AB66" s="8"/>
    </row>
    <row r="67" spans="1:28" ht="12.75" customHeight="1" x14ac:dyDescent="0.2">
      <c r="A67" s="4"/>
      <c r="B67" s="113" t="s">
        <v>132</v>
      </c>
      <c r="C67" s="137">
        <f>IF($I53="Si",IF($H23&lt;1,1,1+2*$C76/$C75*(1-SIN($N23))^2*ATAN(MIN($C32,2*C64)/C64)),1)</f>
        <v>1</v>
      </c>
      <c r="D67" s="138">
        <f>IF($I53="Si",IF($H23&lt;1,1,1+2*$C76/$C75*(1-SIN($N23))^2*ATAN(MIN($C32,2*D64)/D64)),1)</f>
        <v>1</v>
      </c>
      <c r="E67" s="138">
        <f>IF($I53="Si",IF($H23&lt;1,1,1+2*$C76/$C75*(1-SIN($N23))^2*ATAN(MIN($C32,2*E64)/E64)),1)</f>
        <v>1</v>
      </c>
      <c r="F67" s="138">
        <f>IF($I53="Si",IF($H23&lt;1,1,1+2*$C76/$C75*(1-SIN($N23))^2*ATAN(MIN($C32,2*F64)/F64)),1)</f>
        <v>1</v>
      </c>
      <c r="G67" s="138">
        <f>IF($I53="Si",IF($H23&lt;1,1,1+2*$C76/$C75*(1-SIN($N23))^2*ATAN(MIN($C32,2*G64)/G64)),1)</f>
        <v>1</v>
      </c>
      <c r="H67" s="138">
        <f>C67</f>
        <v>1</v>
      </c>
      <c r="I67" s="138">
        <f t="shared" si="4"/>
        <v>1</v>
      </c>
      <c r="J67" s="138">
        <f t="shared" si="4"/>
        <v>1</v>
      </c>
      <c r="K67" s="138">
        <f t="shared" si="4"/>
        <v>1</v>
      </c>
      <c r="L67" s="139">
        <f t="shared" si="4"/>
        <v>1</v>
      </c>
      <c r="M67" s="8"/>
      <c r="P67" s="4"/>
      <c r="T67" s="86">
        <f>B89</f>
        <v>1.8</v>
      </c>
      <c r="U67" s="70">
        <f>MIN(C89,R53)</f>
        <v>0.15997478108072899</v>
      </c>
      <c r="V67" s="19" t="str">
        <f>IF(R53&lt;C89,"Asientos","Hundimiento")</f>
        <v>Hundimiento</v>
      </c>
      <c r="W67" s="70">
        <f>MIN(E89,T53)</f>
        <v>0.13662247164812505</v>
      </c>
      <c r="X67" s="80" t="str">
        <f>IF(T53&lt;E89,"Asientos","Hundimiento")</f>
        <v>Hundimiento</v>
      </c>
      <c r="AB67" s="8"/>
    </row>
    <row r="68" spans="1:28" ht="12.75" customHeight="1" x14ac:dyDescent="0.25">
      <c r="A68" s="4"/>
      <c r="B68" s="114" t="s">
        <v>133</v>
      </c>
      <c r="C68" s="140">
        <v>1</v>
      </c>
      <c r="D68" s="141">
        <v>1</v>
      </c>
      <c r="E68" s="141">
        <v>1</v>
      </c>
      <c r="F68" s="141">
        <v>1</v>
      </c>
      <c r="G68" s="141">
        <v>1</v>
      </c>
      <c r="H68" s="141">
        <f>C68</f>
        <v>1</v>
      </c>
      <c r="I68" s="141">
        <f t="shared" si="4"/>
        <v>1</v>
      </c>
      <c r="J68" s="141">
        <f t="shared" si="4"/>
        <v>1</v>
      </c>
      <c r="K68" s="141">
        <f t="shared" si="4"/>
        <v>1</v>
      </c>
      <c r="L68" s="142">
        <f t="shared" si="4"/>
        <v>1</v>
      </c>
      <c r="M68" s="8"/>
      <c r="N68" s="99"/>
      <c r="P68" s="4"/>
      <c r="T68" s="86">
        <f>B90</f>
        <v>2</v>
      </c>
      <c r="U68" s="70">
        <f>MIN(C90,R54)</f>
        <v>0.166304102916948</v>
      </c>
      <c r="V68" s="19" t="str">
        <f>IF(R54&lt;C90,"Asientos","Hundimiento")</f>
        <v>Hundimiento</v>
      </c>
      <c r="W68" s="70">
        <f>MIN(E90,T54)</f>
        <v>0.14566361373645578</v>
      </c>
      <c r="X68" s="80" t="str">
        <f>IF(T54&lt;E90,"Asientos","Hundimiento")</f>
        <v>Hundimiento</v>
      </c>
      <c r="AB68" s="8"/>
    </row>
    <row r="69" spans="1:28" ht="12.75" customHeight="1" x14ac:dyDescent="0.15">
      <c r="A69" s="4"/>
      <c r="B69" s="107" t="s">
        <v>130</v>
      </c>
      <c r="C69" s="106"/>
      <c r="D69" s="103"/>
      <c r="E69" s="103"/>
      <c r="F69" s="103"/>
      <c r="G69" s="103"/>
      <c r="H69" s="103"/>
      <c r="I69" s="103"/>
      <c r="J69" s="103"/>
      <c r="K69" s="103"/>
      <c r="L69" s="104"/>
      <c r="M69" s="8"/>
      <c r="P69" s="4"/>
      <c r="T69" s="86">
        <f>B91</f>
        <v>2.5</v>
      </c>
      <c r="U69" s="70">
        <f>MIN(C91,R55)</f>
        <v>0.18212740750749551</v>
      </c>
      <c r="V69" s="19" t="str">
        <f>IF(R55&lt;C91,"Asientos","Hundimiento")</f>
        <v>Hundimiento</v>
      </c>
      <c r="W69" s="70">
        <f>MIN(E91,T55)</f>
        <v>0.1682617219659055</v>
      </c>
      <c r="X69" s="80" t="str">
        <f>IF(T55&lt;E91,"Asientos","Hundimiento")</f>
        <v>Hundimiento</v>
      </c>
      <c r="AB69" s="8"/>
    </row>
    <row r="70" spans="1:28" ht="12.75" customHeight="1" thickBot="1" x14ac:dyDescent="0.25">
      <c r="A70" s="4"/>
      <c r="B70" s="112" t="s">
        <v>134</v>
      </c>
      <c r="C70" s="134">
        <v>1.2</v>
      </c>
      <c r="D70" s="134">
        <v>1.2</v>
      </c>
      <c r="E70" s="134">
        <v>1.2</v>
      </c>
      <c r="F70" s="134">
        <v>1.2</v>
      </c>
      <c r="G70" s="134">
        <v>1.2</v>
      </c>
      <c r="H70" s="135">
        <f>IF($B26="Circular",1.2,1+0.2*H64/$O22)</f>
        <v>1.0003</v>
      </c>
      <c r="I70" s="135">
        <f>IF($B26="Circular",1.2,1+0.2*I64/$O22)</f>
        <v>1.0003599999999999</v>
      </c>
      <c r="J70" s="135">
        <f>IF($B26="Circular",1.2,1+0.2*J64/$O22)</f>
        <v>1.0004</v>
      </c>
      <c r="K70" s="135">
        <f>IF($B26="Circular",1.2,1+0.2*K64/$O22)</f>
        <v>1.0004999999999999</v>
      </c>
      <c r="L70" s="136">
        <f>IF($B26="Circular",1.2,1+0.2*L64/$O22)</f>
        <v>1.0005999999999999</v>
      </c>
      <c r="M70" s="8"/>
      <c r="P70" s="4"/>
      <c r="T70" s="217">
        <f>B92</f>
        <v>3</v>
      </c>
      <c r="U70" s="74">
        <f>MIN(C92,R56)</f>
        <v>0.19795071209804305</v>
      </c>
      <c r="V70" s="73" t="str">
        <f>IF(R56&lt;C92,"Asientos","Hundimiento")</f>
        <v>Hundimiento</v>
      </c>
      <c r="W70" s="74">
        <f>MIN(E92,T56)</f>
        <v>0.19085304877910211</v>
      </c>
      <c r="X70" s="81" t="str">
        <f>IF(T56&lt;E92,"Asientos","Hundimiento")</f>
        <v>Hundimiento</v>
      </c>
      <c r="AB70" s="8"/>
    </row>
    <row r="71" spans="1:28" ht="12.75" customHeight="1" x14ac:dyDescent="0.2">
      <c r="A71" s="4"/>
      <c r="B71" s="113" t="s">
        <v>135</v>
      </c>
      <c r="C71" s="137">
        <f>IF($B26="Circular",1.2,1+1.5*TAN($N23))</f>
        <v>1.8660254037844386</v>
      </c>
      <c r="D71" s="137">
        <f>IF($B26="Circular",1.2,1+1.5*TAN($N23))</f>
        <v>1.8660254037844386</v>
      </c>
      <c r="E71" s="137">
        <f>IF($B26="Circular",1.2,1+1.5*TAN($N23))</f>
        <v>1.8660254037844386</v>
      </c>
      <c r="F71" s="137">
        <f>IF($B26="Circular",1.2,1+1.5*TAN($N23))</f>
        <v>1.8660254037844386</v>
      </c>
      <c r="G71" s="137">
        <f>IF($B26="Circular",1.2,1+1.5*TAN($N23))</f>
        <v>1.8660254037844386</v>
      </c>
      <c r="H71" s="138">
        <f>IF($B26="Circular",1.2,1+1.5*TAN($N23)*H64/$O22)</f>
        <v>1.0012990381056766</v>
      </c>
      <c r="I71" s="138">
        <f>IF($B26="Circular",1.2,1+1.5*TAN($N23)*I64/$O22)</f>
        <v>1.0015588457268121</v>
      </c>
      <c r="J71" s="138">
        <f>IF($B26="Circular",1.2,1+1.5*TAN($N23)*J64/$O22)</f>
        <v>1.0017320508075689</v>
      </c>
      <c r="K71" s="138">
        <f>IF($B26="Circular",1.2,1+1.5*TAN($N23)*K64/$O22)</f>
        <v>1.002165063509461</v>
      </c>
      <c r="L71" s="139">
        <f>IF($B26="Circular",1.2,1+1.5*TAN($N23)*L64/$O22)</f>
        <v>1.0025980762113533</v>
      </c>
      <c r="M71" s="8"/>
      <c r="P71" s="4"/>
      <c r="AB71" s="8"/>
    </row>
    <row r="72" spans="1:28" ht="12.75" customHeight="1" thickBot="1" x14ac:dyDescent="0.3">
      <c r="A72" s="4"/>
      <c r="B72" s="114" t="s">
        <v>136</v>
      </c>
      <c r="C72" s="140">
        <v>0.7</v>
      </c>
      <c r="D72" s="140">
        <v>0.7</v>
      </c>
      <c r="E72" s="140">
        <v>0.7</v>
      </c>
      <c r="F72" s="140">
        <v>0.7</v>
      </c>
      <c r="G72" s="140">
        <v>0.7</v>
      </c>
      <c r="H72" s="141">
        <f>IF($B26="Circular",0.6,1-0.3*H64/$O22)</f>
        <v>0.99955000000000005</v>
      </c>
      <c r="I72" s="141">
        <f>IF($B26="Circular",0.6,1-0.3*I64/$O22)</f>
        <v>0.99946000000000002</v>
      </c>
      <c r="J72" s="141">
        <f>IF($B26="Circular",0.6,1-0.3*J64/$O22)</f>
        <v>0.99939999999999996</v>
      </c>
      <c r="K72" s="141">
        <f>IF($B26="Circular",0.6,1-0.3*K64/$O22)</f>
        <v>0.99924999999999997</v>
      </c>
      <c r="L72" s="142">
        <f>IF($B26="Circular",0.6,1-0.3*L64/$O22)</f>
        <v>0.99909999999999999</v>
      </c>
      <c r="M72" s="8"/>
    </row>
    <row r="73" spans="1:28" ht="12.75" customHeight="1" thickBot="1" x14ac:dyDescent="0.2">
      <c r="A73" s="4"/>
      <c r="B73" s="126"/>
      <c r="C73" s="105"/>
      <c r="D73" s="105"/>
      <c r="E73" s="105"/>
      <c r="F73" s="105"/>
      <c r="G73" s="105"/>
      <c r="H73" s="105"/>
      <c r="I73" s="105"/>
      <c r="J73" s="105"/>
      <c r="K73" s="105"/>
      <c r="L73" s="105"/>
      <c r="M73" s="8"/>
    </row>
    <row r="74" spans="1:28" ht="28.5" customHeight="1" x14ac:dyDescent="0.15">
      <c r="A74" s="4"/>
      <c r="B74" s="362" t="s">
        <v>209</v>
      </c>
      <c r="C74" s="364"/>
      <c r="E74" s="362" t="s">
        <v>113</v>
      </c>
      <c r="F74" s="363"/>
      <c r="G74" s="362" t="s">
        <v>208</v>
      </c>
      <c r="H74" s="363"/>
      <c r="I74" s="363"/>
      <c r="J74" s="363"/>
      <c r="K74" s="363"/>
      <c r="L74" s="364"/>
      <c r="M74" s="8"/>
    </row>
    <row r="75" spans="1:28" ht="13.5" customHeight="1" x14ac:dyDescent="0.2">
      <c r="A75" s="4"/>
      <c r="B75" s="119" t="s">
        <v>140</v>
      </c>
      <c r="C75" s="231">
        <f>IF(H23=0,PI()+2,1/TAN(N23)*(C76-1))</f>
        <v>30.139627791519086</v>
      </c>
      <c r="E75" s="118" t="s">
        <v>137</v>
      </c>
      <c r="F75" s="127">
        <f>IF(B45="Si",1,EXP(-2*N41*TAN(N23)))</f>
        <v>1</v>
      </c>
      <c r="G75" s="102"/>
      <c r="L75" s="8"/>
      <c r="M75" s="8"/>
    </row>
    <row r="76" spans="1:28" ht="13.5" customHeight="1" x14ac:dyDescent="0.2">
      <c r="A76" s="4"/>
      <c r="B76" s="4" t="s">
        <v>141</v>
      </c>
      <c r="C76" s="232">
        <f>(TAN(PI()/4+N23/2))^2*EXP(PI()*TAN(N23))</f>
        <v>18.401122218708668</v>
      </c>
      <c r="E76" s="102" t="s">
        <v>138</v>
      </c>
      <c r="F76" s="128">
        <f>IF(B45="Si",1,1-SIN(2*N41))</f>
        <v>1</v>
      </c>
      <c r="G76" s="4"/>
      <c r="L76" s="8"/>
      <c r="M76" s="8"/>
    </row>
    <row r="77" spans="1:28" ht="13.5" customHeight="1" thickBot="1" x14ac:dyDescent="0.3">
      <c r="A77" s="4"/>
      <c r="B77" s="5" t="s">
        <v>142</v>
      </c>
      <c r="C77" s="233">
        <f>1.5*(C76-1)*TAN(N23)</f>
        <v>15.069813895759541</v>
      </c>
      <c r="E77" s="115" t="s">
        <v>139</v>
      </c>
      <c r="F77" s="129">
        <f>IF(B45="Si",1,1-SIN(2*N41))</f>
        <v>1</v>
      </c>
      <c r="G77" s="5"/>
      <c r="H77" s="6"/>
      <c r="I77" s="6"/>
      <c r="J77" s="6"/>
      <c r="K77" s="6"/>
      <c r="L77" s="9"/>
      <c r="M77" s="8"/>
    </row>
    <row r="78" spans="1:28" ht="12.75" customHeight="1" thickBot="1" x14ac:dyDescent="0.2">
      <c r="A78" s="5"/>
      <c r="B78" s="6"/>
      <c r="C78" s="6"/>
      <c r="D78" s="6"/>
      <c r="E78" s="6"/>
      <c r="F78" s="6"/>
      <c r="G78" s="6"/>
      <c r="H78" s="6"/>
      <c r="I78" s="6"/>
      <c r="J78" s="6"/>
      <c r="K78" s="6"/>
      <c r="L78" s="6"/>
      <c r="M78" s="9"/>
    </row>
    <row r="79" spans="1:28" ht="12.75" customHeight="1" thickBot="1" x14ac:dyDescent="0.2"/>
    <row r="80" spans="1:28" ht="12.75" customHeight="1" x14ac:dyDescent="0.15">
      <c r="A80" s="14" t="s">
        <v>119</v>
      </c>
      <c r="B80" s="11"/>
      <c r="C80" s="12"/>
      <c r="D80" s="11"/>
      <c r="E80" s="12"/>
      <c r="F80" s="12"/>
      <c r="G80" s="12"/>
      <c r="H80" s="11"/>
      <c r="I80" s="12"/>
      <c r="J80" s="11"/>
      <c r="K80" s="12"/>
      <c r="L80" s="12"/>
      <c r="M80" s="3"/>
    </row>
    <row r="81" spans="1:28" ht="12.75" customHeight="1" x14ac:dyDescent="0.15">
      <c r="A81" s="4"/>
      <c r="M81" s="8"/>
    </row>
    <row r="82" spans="1:28" ht="12.75" customHeight="1" x14ac:dyDescent="0.15">
      <c r="A82" s="4"/>
      <c r="M82" s="8"/>
    </row>
    <row r="83" spans="1:28" ht="12.75" customHeight="1" x14ac:dyDescent="0.15">
      <c r="A83" s="4"/>
      <c r="M83" s="8"/>
      <c r="P83" s="4"/>
      <c r="AB83" s="8"/>
    </row>
    <row r="84" spans="1:28" ht="26.25" customHeight="1" thickBot="1" x14ac:dyDescent="0.2">
      <c r="A84" s="4"/>
      <c r="M84" s="8"/>
      <c r="P84" s="4"/>
      <c r="AB84" s="8"/>
    </row>
    <row r="85" spans="1:28" ht="12.75" customHeight="1" thickBot="1" x14ac:dyDescent="0.2">
      <c r="A85" s="4"/>
      <c r="B85" s="360" t="s">
        <v>120</v>
      </c>
      <c r="C85" s="143" t="s">
        <v>122</v>
      </c>
      <c r="D85" s="153"/>
      <c r="E85" s="143" t="s">
        <v>121</v>
      </c>
      <c r="F85" s="146"/>
      <c r="M85" s="8"/>
      <c r="P85" s="4"/>
      <c r="AB85" s="8"/>
    </row>
    <row r="86" spans="1:28" ht="15.75" customHeight="1" thickBot="1" x14ac:dyDescent="0.2">
      <c r="A86" s="4"/>
      <c r="B86" s="361"/>
      <c r="C86" s="147" t="s">
        <v>85</v>
      </c>
      <c r="D86" s="154"/>
      <c r="E86" s="147" t="s">
        <v>85</v>
      </c>
      <c r="F86" s="148"/>
      <c r="M86" s="8"/>
      <c r="P86" s="32"/>
      <c r="Q86" s="32"/>
      <c r="R86" s="32"/>
      <c r="S86" s="32"/>
      <c r="T86" s="32"/>
      <c r="U86" s="32"/>
      <c r="V86" s="32"/>
      <c r="W86" s="32"/>
      <c r="X86" s="32"/>
      <c r="Y86" s="32"/>
      <c r="Z86" s="32"/>
      <c r="AA86" s="32"/>
      <c r="AB86" s="32"/>
    </row>
    <row r="87" spans="1:28" ht="12.75" customHeight="1" thickBot="1" x14ac:dyDescent="0.25">
      <c r="A87" s="4"/>
      <c r="B87" s="100" t="s">
        <v>14</v>
      </c>
      <c r="C87" s="151" t="s">
        <v>0</v>
      </c>
      <c r="D87" s="155"/>
      <c r="E87" s="151" t="s">
        <v>0</v>
      </c>
      <c r="F87" s="152"/>
      <c r="M87" s="8"/>
      <c r="P87" s="15" t="s">
        <v>230</v>
      </c>
      <c r="Q87" s="16"/>
      <c r="R87" s="16"/>
      <c r="S87" s="16"/>
      <c r="T87" s="16"/>
      <c r="U87" s="16"/>
      <c r="V87" s="16"/>
      <c r="W87" s="16"/>
      <c r="X87" s="16"/>
      <c r="Y87" s="16"/>
      <c r="Z87" s="16"/>
      <c r="AA87" s="16"/>
      <c r="AB87" s="17"/>
    </row>
    <row r="88" spans="1:28" ht="12.75" customHeight="1" thickBot="1" x14ac:dyDescent="0.2">
      <c r="A88" s="4"/>
      <c r="B88" s="86">
        <f>B29</f>
        <v>1.5</v>
      </c>
      <c r="C88" s="149">
        <f>C98/C52/1000</f>
        <v>0.15048079832640052</v>
      </c>
      <c r="D88" s="156"/>
      <c r="E88" s="149">
        <f>H98/C52/1000</f>
        <v>0.12305872409075296</v>
      </c>
      <c r="F88" s="150"/>
      <c r="M88" s="8"/>
      <c r="P88" s="4"/>
      <c r="AB88" s="8"/>
    </row>
    <row r="89" spans="1:28" ht="12.75" customHeight="1" x14ac:dyDescent="0.15">
      <c r="A89" s="4"/>
      <c r="B89" s="69">
        <f>C29</f>
        <v>1.8</v>
      </c>
      <c r="C89" s="144">
        <f>D98/C52/1000</f>
        <v>0.15997478108072899</v>
      </c>
      <c r="D89" s="157"/>
      <c r="E89" s="144">
        <f>I98/C52/1000</f>
        <v>0.13662247164812505</v>
      </c>
      <c r="F89" s="56"/>
      <c r="M89" s="8"/>
      <c r="P89" s="4"/>
      <c r="T89" s="360" t="s">
        <v>120</v>
      </c>
      <c r="U89" s="143" t="s">
        <v>122</v>
      </c>
      <c r="V89" s="153"/>
      <c r="W89" s="143" t="s">
        <v>121</v>
      </c>
      <c r="X89" s="146"/>
      <c r="AB89" s="8"/>
    </row>
    <row r="90" spans="1:28" ht="12.75" customHeight="1" x14ac:dyDescent="0.15">
      <c r="A90" s="4"/>
      <c r="B90" s="69">
        <f>D29</f>
        <v>2</v>
      </c>
      <c r="C90" s="144">
        <f>E98/C52/1000</f>
        <v>0.166304102916948</v>
      </c>
      <c r="D90" s="157"/>
      <c r="E90" s="144">
        <f>J98/C52/1000</f>
        <v>0.14566361373645578</v>
      </c>
      <c r="F90" s="56"/>
      <c r="M90" s="8"/>
      <c r="P90" s="4"/>
      <c r="T90" s="361"/>
      <c r="U90" s="292" t="s">
        <v>227</v>
      </c>
      <c r="V90" s="296" t="s">
        <v>231</v>
      </c>
      <c r="W90" s="298" t="s">
        <v>228</v>
      </c>
      <c r="X90" s="299" t="s">
        <v>231</v>
      </c>
      <c r="AB90" s="8"/>
    </row>
    <row r="91" spans="1:28" ht="12.75" customHeight="1" x14ac:dyDescent="0.15">
      <c r="A91" s="4"/>
      <c r="B91" s="69">
        <f>E29</f>
        <v>2.5</v>
      </c>
      <c r="C91" s="144">
        <f>F98/C52/1000</f>
        <v>0.18212740750749551</v>
      </c>
      <c r="D91" s="157"/>
      <c r="E91" s="144">
        <f>K98/C52/1000</f>
        <v>0.1682617219659055</v>
      </c>
      <c r="F91" s="56"/>
      <c r="M91" s="8"/>
      <c r="P91" s="4"/>
      <c r="T91" s="208" t="s">
        <v>14</v>
      </c>
      <c r="U91" s="293" t="s">
        <v>229</v>
      </c>
      <c r="V91" s="297" t="s">
        <v>229</v>
      </c>
      <c r="W91" s="194" t="s">
        <v>229</v>
      </c>
      <c r="X91" s="300" t="s">
        <v>229</v>
      </c>
      <c r="AB91" s="8"/>
    </row>
    <row r="92" spans="1:28" ht="12.75" customHeight="1" thickBot="1" x14ac:dyDescent="0.2">
      <c r="A92" s="4"/>
      <c r="B92" s="72">
        <f>F29</f>
        <v>3</v>
      </c>
      <c r="C92" s="145">
        <f>G98/C52/1000</f>
        <v>0.19795071209804305</v>
      </c>
      <c r="D92" s="158"/>
      <c r="E92" s="145">
        <f>L98/C52/1000</f>
        <v>0.19085304877910211</v>
      </c>
      <c r="F92" s="61"/>
      <c r="M92" s="8"/>
      <c r="P92" s="4"/>
      <c r="T92" s="69">
        <f>Q52</f>
        <v>1.5</v>
      </c>
      <c r="U92" s="294">
        <f>R52/($Q$47/100)</f>
        <v>18.527122097755672</v>
      </c>
      <c r="V92" s="206">
        <f>U92*T92/0.3</f>
        <v>92.635610488778369</v>
      </c>
      <c r="W92" s="294">
        <f>T52/($Q$47/100)</f>
        <v>17.553086181445138</v>
      </c>
      <c r="X92" s="301">
        <f>W92*T92/0.3</f>
        <v>87.765430907225692</v>
      </c>
      <c r="AB92" s="8"/>
    </row>
    <row r="93" spans="1:28" ht="12.75" customHeight="1" x14ac:dyDescent="0.15">
      <c r="A93" s="4"/>
      <c r="M93" s="8"/>
      <c r="P93" s="4"/>
      <c r="T93" s="69">
        <f>Q53</f>
        <v>1.8</v>
      </c>
      <c r="U93" s="294">
        <f>R53/($Q$47/100)</f>
        <v>17.485008258359009</v>
      </c>
      <c r="V93" s="206">
        <f>U93*T93/0.3</f>
        <v>104.91004955015406</v>
      </c>
      <c r="W93" s="294">
        <f>T53/($Q$47/100)</f>
        <v>17.038194777957354</v>
      </c>
      <c r="X93" s="301">
        <f>W93*T93/0.3</f>
        <v>102.22916866774413</v>
      </c>
      <c r="AB93" s="8"/>
    </row>
    <row r="94" spans="1:28" ht="12.75" customHeight="1" x14ac:dyDescent="0.15">
      <c r="A94" s="4"/>
      <c r="M94" s="8"/>
      <c r="P94" s="4"/>
      <c r="T94" s="69">
        <f>Q54</f>
        <v>2</v>
      </c>
      <c r="U94" s="294">
        <f>R54/($Q$47/100)</f>
        <v>17.038194777957354</v>
      </c>
      <c r="V94" s="206">
        <f>U94*T94/0.3</f>
        <v>113.58796518638236</v>
      </c>
      <c r="W94" s="294">
        <f>T54/($Q$47/100)</f>
        <v>16.829252082807692</v>
      </c>
      <c r="X94" s="301">
        <f>W94*T94/0.3</f>
        <v>112.19501388538461</v>
      </c>
      <c r="AB94" s="8"/>
    </row>
    <row r="95" spans="1:28" ht="12.75" customHeight="1" x14ac:dyDescent="0.15">
      <c r="A95" s="4"/>
      <c r="M95" s="8"/>
      <c r="P95" s="4"/>
      <c r="T95" s="69">
        <f>Q55</f>
        <v>2.5</v>
      </c>
      <c r="U95" s="294">
        <f>R55/($Q$47/100)</f>
        <v>16.418463680773502</v>
      </c>
      <c r="V95" s="206">
        <f>U95*T95/0.3</f>
        <v>136.82053067311253</v>
      </c>
      <c r="W95" s="294">
        <f>T55/($Q$47/100)</f>
        <v>16.571175954190824</v>
      </c>
      <c r="X95" s="301">
        <f>W95*T95/0.3</f>
        <v>138.09313295159021</v>
      </c>
      <c r="AB95" s="8"/>
    </row>
    <row r="96" spans="1:28" ht="12.75" customHeight="1" thickBot="1" x14ac:dyDescent="0.2">
      <c r="A96" s="4"/>
      <c r="M96" s="8"/>
      <c r="P96" s="4"/>
      <c r="T96" s="72">
        <f>Q56</f>
        <v>3</v>
      </c>
      <c r="U96" s="295">
        <f>R56/($Q$47/100)</f>
        <v>16.174011780617505</v>
      </c>
      <c r="V96" s="207">
        <f>U96*T96/0.3</f>
        <v>161.74011780617505</v>
      </c>
      <c r="W96" s="295">
        <f>T56/($Q$47/100)</f>
        <v>16.513443843902149</v>
      </c>
      <c r="X96" s="302">
        <f>W96*T96/0.3</f>
        <v>165.13443843902149</v>
      </c>
      <c r="AB96" s="8"/>
    </row>
    <row r="97" spans="1:28" ht="12.75" customHeight="1" thickBot="1" x14ac:dyDescent="0.2">
      <c r="A97" s="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9"/>
      <c r="P97" s="4"/>
      <c r="T97" s="303"/>
      <c r="U97" s="304" t="s">
        <v>232</v>
      </c>
      <c r="V97" s="305">
        <f>AVERAGE(V92:V96)</f>
        <v>121.93885474092046</v>
      </c>
      <c r="W97" s="304" t="s">
        <v>232</v>
      </c>
      <c r="X97" s="306">
        <f>AVERAGE(X92:X96)</f>
        <v>121.08343697019322</v>
      </c>
      <c r="AB97" s="8"/>
    </row>
    <row r="98" spans="1:28" ht="12.75" customHeight="1" thickBot="1" x14ac:dyDescent="0.2">
      <c r="C98" s="21">
        <f>J$39*$C$75*C66*C70*$F$75+$K$48*$C$76*C67*C71*$F$76+1/2*C64*K39*$C$77*C68*C72*$F$77</f>
        <v>451.44239497920148</v>
      </c>
      <c r="D98" s="21">
        <f>J$40*$C$75*D66*D70*$F$75+$K$48*$C$76*D67*D71*$F$76+1/2*D64*K40*$C$77*D68*D72*$F$77</f>
        <v>479.92434324218698</v>
      </c>
      <c r="E98" s="21">
        <f>J$41*$C$75*E66*E70*$F$75+$K$48*$C$76*E67*E71*$F$76+1/2*E64*K41*$C$77*E68*E72*$F$77</f>
        <v>498.91230875084403</v>
      </c>
      <c r="F98" s="21">
        <f>J$42*$C$75*F66*F70*$F$75+$K$48*$C$76*F67*F71*$F$76+1/2*F64*K42*$C$77*F68*F72*$F$77</f>
        <v>546.38222252248659</v>
      </c>
      <c r="G98" s="21">
        <f>J$43*$C$75*G66*G70*$F$75+$K$48*$C$76*G67*G71*$F$76+1/2*G64*K43*$C$77*G68*G72*$F$77</f>
        <v>593.8521362941292</v>
      </c>
      <c r="H98" s="21">
        <f>J$39*$C$75*H66*H70*$F$75+$K$48*$C$76*H67*H71*$F$76+1/2*H64*K39*$C$77*H68*H72*$F$77</f>
        <v>369.1761722722589</v>
      </c>
      <c r="I98" s="21">
        <f>J$40*$C$75*I66*I70*$F$75+$K$48*$C$76*I67*I71*$F$76+1/2*I64*K40*$C$77*I68*I72*$F$77</f>
        <v>409.86741494437513</v>
      </c>
      <c r="J98" s="21">
        <f>J$41*$C$75*J66*J70*$F$75+$K$48*$C$76*J67*J71*$F$76+1/2*J64*K41*$C$77*J68*J72*$F$77</f>
        <v>436.99084120936732</v>
      </c>
      <c r="K98" s="21">
        <f>J$42*$C$75*K66*K70*$F$75+$K$48*$C$76*K67*K71*$F$76+1/2*K64*K42*$C$77*K68*K72*$F$77</f>
        <v>504.78516589771652</v>
      </c>
      <c r="L98" s="21">
        <f>J$43*$C$75*L66*L70*$F$75+$K$48*$C$76*L67*L71*$F$76+1/2*L64*K43*$C$77*L68*L72*$F$77</f>
        <v>572.5591463373064</v>
      </c>
      <c r="P98" s="5"/>
      <c r="Q98" s="6"/>
      <c r="R98" s="6"/>
      <c r="S98" s="6"/>
      <c r="T98" s="6"/>
      <c r="U98" s="6"/>
      <c r="V98" s="6"/>
      <c r="W98" s="6"/>
      <c r="X98" s="6"/>
      <c r="Y98" s="6"/>
      <c r="Z98" s="6"/>
      <c r="AA98" s="6"/>
      <c r="AB98" s="9"/>
    </row>
    <row r="99" spans="1:28" ht="12.75" customHeight="1" x14ac:dyDescent="0.15">
      <c r="C99" s="98"/>
      <c r="D99" s="98"/>
      <c r="E99" s="98"/>
      <c r="F99" s="98"/>
      <c r="G99" s="98"/>
      <c r="H99" s="98"/>
      <c r="I99" s="98"/>
      <c r="J99" s="98"/>
      <c r="K99" s="98"/>
      <c r="L99" s="98"/>
    </row>
    <row r="100" spans="1:28" ht="12.75" customHeight="1" x14ac:dyDescent="0.15"/>
    <row r="101" spans="1:28" ht="12.75" customHeight="1" x14ac:dyDescent="0.15"/>
    <row r="102" spans="1:28" ht="12.75" customHeight="1" x14ac:dyDescent="0.15">
      <c r="C102" s="21"/>
      <c r="D102" s="21"/>
      <c r="E102" s="21"/>
      <c r="F102" s="21"/>
      <c r="G102" s="21"/>
      <c r="H102" s="21"/>
      <c r="I102" s="21"/>
      <c r="J102" s="21"/>
      <c r="K102" s="21"/>
      <c r="L102" s="21"/>
    </row>
    <row r="103" spans="1:28" ht="12.75" customHeight="1" x14ac:dyDescent="0.15"/>
    <row r="104" spans="1:28" ht="12.75" customHeight="1" x14ac:dyDescent="0.15"/>
  </sheetData>
  <customSheetViews>
    <customSheetView guid="{65522948-B87D-4DE1-A919-A9DBF05A422E}" scale="85" showPageBreaks="1" showGridLines="0" fitToPage="1" printArea="1" view="pageBreakPreview" topLeftCell="A22">
      <selection activeCell="Q47" sqref="Q47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6" orientation="portrait" r:id="rId1"/>
      <headerFooter alignWithMargins="0"/>
    </customSheetView>
    <customSheetView guid="{7FD2F097-FB49-43FA-AD37-E78F103B659E}" scale="85" showPageBreaks="1" showGridLines="0" fitToPage="1" printArea="1" view="pageBreakPreview" showRuler="0" topLeftCell="O68">
      <selection activeCell="Y93" sqref="Y93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2"/>
      <headerFooter alignWithMargins="0"/>
    </customSheetView>
    <customSheetView guid="{12114348-3A8D-4935-A6F6-768010CCAE46}" scale="75" showPageBreaks="1" showGridLines="0" fitToPage="1" printArea="1" view="pageBreakPreview" showRuler="0" topLeftCell="A25">
      <selection activeCell="I48" sqref="I48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3"/>
      <headerFooter alignWithMargins="0"/>
    </customSheetView>
    <customSheetView guid="{20C30929-F252-406C-8D94-44905722B9D9}" scale="75" showPageBreaks="1" showGridLines="0" fitToPage="1" printArea="1" view="pageBreakPreview" showRuler="0" topLeftCell="A19">
      <selection activeCell="H25" sqref="H25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4"/>
      <headerFooter alignWithMargins="0"/>
    </customSheetView>
    <customSheetView guid="{8127D4AB-9453-4548-91B7-C6CE80D2789C}" scale="75" showPageBreaks="1" showGridLines="0" fitToPage="1" printArea="1" view="pageBreakPreview" showRuler="0" topLeftCell="K19">
      <selection activeCell="Q47" sqref="Q47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5"/>
      <headerFooter alignWithMargins="0"/>
    </customSheetView>
    <customSheetView guid="{6D1BF510-2AF1-43B4-AE7F-259F79E565AC}" scale="75" showPageBreaks="1" showGridLines="0" fitToPage="1" printArea="1" view="pageBreakPreview" showRuler="0" topLeftCell="Q22">
      <selection activeCell="Z35" sqref="Z35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6"/>
      <headerFooter alignWithMargins="0"/>
    </customSheetView>
    <customSheetView guid="{543E864F-509F-4920-81D1-F8BE4AA5D61C}" scale="85" showPageBreaks="1" showGridLines="0" fitToPage="1" printArea="1" view="pageBreakPreview" showRuler="0" topLeftCell="P37">
      <selection activeCell="V38" sqref="V38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7"/>
      <headerFooter alignWithMargins="0"/>
    </customSheetView>
    <customSheetView guid="{2F909812-D728-4B8D-9839-2364091D9253}" scale="85" showPageBreaks="1" showGridLines="0" fitToPage="1" printArea="1" view="pageBreakPreview" showRuler="0">
      <selection activeCell="B23" sqref="B23:D23"/>
      <colBreaks count="1" manualBreakCount="1">
        <brk id="16" max="1048575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8"/>
      <headerFooter alignWithMargins="0"/>
    </customSheetView>
    <customSheetView guid="{5A0DBCB3-B2E7-4F2F-A73A-3B24630E7D1A}" scale="85" showPageBreaks="1" showGridLines="0" fitToPage="1" printArea="1" view="pageBreakPreview" topLeftCell="A52">
      <selection activeCell="Q47" sqref="Q47"/>
      <colBreaks count="3" manualBreakCount="3">
        <brk id="7" max="96" man="1"/>
        <brk id="16" max="1048575" man="1"/>
        <brk id="22" max="97" man="1"/>
      </colBreaks>
      <pageMargins left="0.78740157480314965" right="0.78740157480314965" top="0.68" bottom="0.19685039370078741" header="0" footer="0"/>
      <printOptions horizontalCentered="1"/>
      <pageSetup paperSize="9" scale="55" orientation="portrait" r:id="rId9"/>
      <headerFooter alignWithMargins="0"/>
    </customSheetView>
  </customSheetViews>
  <mergeCells count="19">
    <mergeCell ref="V19:V21"/>
    <mergeCell ref="Q49:Q50"/>
    <mergeCell ref="B23:D23"/>
    <mergeCell ref="Y35:Y36"/>
    <mergeCell ref="X35:X36"/>
    <mergeCell ref="J23:M24"/>
    <mergeCell ref="B46:F47"/>
    <mergeCell ref="V22:V24"/>
    <mergeCell ref="T35:T36"/>
    <mergeCell ref="G49:M50"/>
    <mergeCell ref="B51:C51"/>
    <mergeCell ref="X64:X65"/>
    <mergeCell ref="T63:T64"/>
    <mergeCell ref="T89:T90"/>
    <mergeCell ref="B85:B86"/>
    <mergeCell ref="G74:L74"/>
    <mergeCell ref="B74:C74"/>
    <mergeCell ref="E74:F74"/>
    <mergeCell ref="V64:V65"/>
  </mergeCells>
  <phoneticPr fontId="2" type="noConversion"/>
  <conditionalFormatting sqref="U66:U70 W66:W70 R52:R56 T52:T56 E88:E92 C88:C92 U92:U96 W92:W96">
    <cfRule type="cellIs" dxfId="13" priority="2" stopIfTrue="1" operator="equal">
      <formula>"SI"</formula>
    </cfRule>
    <cfRule type="cellIs" dxfId="12" priority="3" stopIfTrue="1" operator="equal">
      <formula>"NO"</formula>
    </cfRule>
  </conditionalFormatting>
  <conditionalFormatting sqref="N22:O22">
    <cfRule type="expression" dxfId="11" priority="4" stopIfTrue="1">
      <formula>IF($B$26="Circular",TRUE)</formula>
    </cfRule>
  </conditionalFormatting>
  <conditionalFormatting sqref="C37:D37">
    <cfRule type="expression" dxfId="10" priority="5" stopIfTrue="1">
      <formula>IF($B$37="No",TRUE)</formula>
    </cfRule>
  </conditionalFormatting>
  <conditionalFormatting sqref="L35:L36 G41:H41">
    <cfRule type="expression" dxfId="9" priority="6" stopIfTrue="1">
      <formula>IF($G$27="No",TRUE)</formula>
    </cfRule>
  </conditionalFormatting>
  <conditionalFormatting sqref="G27">
    <cfRule type="expression" dxfId="8" priority="7" stopIfTrue="1">
      <formula>IF($B$23="Persistente a largo plazo",TRUE)</formula>
    </cfRule>
  </conditionalFormatting>
  <conditionalFormatting sqref="I30:J31">
    <cfRule type="expression" dxfId="7" priority="8" stopIfTrue="1">
      <formula>IF($G$27="No",TRUE)</formula>
    </cfRule>
    <cfRule type="expression" dxfId="6" priority="9" stopIfTrue="1">
      <formula>IF($B$23="Persistente a largo plazo",TRUE)</formula>
    </cfRule>
  </conditionalFormatting>
  <conditionalFormatting sqref="J46:L48">
    <cfRule type="expression" dxfId="5" priority="1" stopIfTrue="1">
      <formula>IF($I$46="No",TRUE)</formula>
    </cfRule>
  </conditionalFormatting>
  <conditionalFormatting sqref="V52:V56">
    <cfRule type="cellIs" dxfId="4" priority="19" stopIfTrue="1" operator="equal">
      <formula>"NO"</formula>
    </cfRule>
  </conditionalFormatting>
  <dataValidations count="8">
    <dataValidation type="decimal" errorStyle="information" operator="greaterThanOrEqual" allowBlank="1" showInputMessage="1" showErrorMessage="1" errorTitle="Recomendación" error="Activar la reducción por nivel freático próximo" sqref="O32:O33" xr:uid="{FFD6E47F-4E65-4B41-8796-E2C420E28913}">
      <formula1>C31</formula1>
    </dataValidation>
    <dataValidation type="decimal" errorStyle="information" operator="greaterThanOrEqual" allowBlank="1" showInputMessage="1" showErrorMessage="1" errorTitle="Recomendación" error="Activar la reducción por nivel freático próximo" sqref="O34" xr:uid="{5444ED1D-8927-404E-AA08-A5C12F0C4363}">
      <formula1>C31</formula1>
    </dataValidation>
    <dataValidation type="list" allowBlank="1" showInputMessage="1" showErrorMessage="1" sqref="B51" xr:uid="{B9A7FE04-7134-4E92-B6B1-3D62B05C44CE}">
      <formula1>"Situación persistente,Situación transitoria,Situación extraordinaria"</formula1>
    </dataValidation>
    <dataValidation type="list" allowBlank="1" showInputMessage="1" showErrorMessage="1" sqref="B45 I46 B37 G27 I53" xr:uid="{E97587D2-C215-4723-9740-AD6CE5064E40}">
      <formula1>"Si,No"</formula1>
    </dataValidation>
    <dataValidation type="list" allowBlank="1" showInputMessage="1" showErrorMessage="1" sqref="D30 B26:B27" xr:uid="{FA858C47-922A-4C22-8827-4BF5F12E22D2}">
      <formula1>$N$3:$N$4</formula1>
    </dataValidation>
    <dataValidation operator="notEqual" allowBlank="1" showInputMessage="1" error="Introducir 0,01 en lugar de 0:_x000a_La solución analítica de Nc es indeterminada para fi=0 pero su límite converge a pi+2=5,14._x000a_Igualmente, sc converge a 1+0,2B/L" sqref="H23" xr:uid="{B9C69B65-334A-460A-AA81-79B6B7D3FA81}"/>
    <dataValidation type="decimal" errorStyle="information" operator="greaterThanOrEqual" allowBlank="1" showInputMessage="1" showErrorMessage="1" errorTitle="Recomendación" error="Activar la reducción por nivel freático próximo" sqref="O35:O36" xr:uid="{14725E63-DB01-40AF-AF7A-5978C8FBE7CD}">
      <formula1>#REF!</formula1>
    </dataValidation>
    <dataValidation type="list" allowBlank="1" showInputMessage="1" showErrorMessage="1" sqref="B23" xr:uid="{B94E2E2D-DCE5-4C94-919B-23F4EE484BED}">
      <formula1>"Persistente a largo plazo,Transitoria a corto plazo (sin drenaje)"</formula1>
    </dataValidation>
  </dataValidations>
  <printOptions horizontalCentered="1"/>
  <pageMargins left="0.78740157480314965" right="0.78740157480314965" top="0.68" bottom="0.19685039370078741" header="0" footer="0"/>
  <pageSetup paperSize="9" scale="52" orientation="portrait" r:id="rId10"/>
  <headerFooter alignWithMargins="0"/>
  <colBreaks count="1" manualBreakCount="1">
    <brk id="16" max="1048575" man="1"/>
  </colBreaks>
  <drawing r:id="rId11"/>
  <legacyDrawing r:id="rId1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5E1CC3-39DC-4066-8CC5-4B2A9DDF0AD9}">
  <sheetPr codeName="Hoja3"/>
  <dimension ref="A1:AI97"/>
  <sheetViews>
    <sheetView showGridLines="0" view="pageBreakPreview" topLeftCell="A39" zoomScale="85" zoomScaleNormal="85" zoomScaleSheetLayoutView="85" workbookViewId="0">
      <selection activeCell="E58" sqref="E58"/>
    </sheetView>
  </sheetViews>
  <sheetFormatPr baseColWidth="10" defaultRowHeight="13" x14ac:dyDescent="0.15"/>
  <cols>
    <col min="1" max="1" width="11.33203125" customWidth="1"/>
    <col min="2" max="2" width="7.83203125" customWidth="1"/>
    <col min="3" max="13" width="9.5" customWidth="1"/>
    <col min="14" max="17" width="11.33203125" customWidth="1"/>
    <col min="18" max="18" width="7.83203125" customWidth="1"/>
    <col min="19" max="31" width="9.5" customWidth="1"/>
    <col min="32" max="32" width="11.33203125" customWidth="1"/>
  </cols>
  <sheetData>
    <row r="1" spans="1:16" ht="18.75" customHeight="1" x14ac:dyDescent="0.15">
      <c r="A1" s="1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3"/>
      <c r="N1" s="1"/>
      <c r="O1" s="2"/>
      <c r="P1" s="3"/>
    </row>
    <row r="2" spans="1:16" ht="18.75" customHeight="1" x14ac:dyDescent="0.2">
      <c r="A2" s="22" t="s">
        <v>143</v>
      </c>
      <c r="B2" s="7"/>
      <c r="C2" s="7"/>
      <c r="D2" s="7"/>
      <c r="E2" s="7"/>
      <c r="F2" s="7"/>
      <c r="G2" s="7"/>
      <c r="H2" s="7"/>
      <c r="I2" s="7"/>
      <c r="J2" s="7"/>
      <c r="K2" s="7"/>
      <c r="L2" s="7"/>
      <c r="M2" s="18"/>
      <c r="N2" s="4"/>
      <c r="P2" s="8"/>
    </row>
    <row r="3" spans="1:16" ht="18.75" customHeight="1" thickBot="1" x14ac:dyDescent="0.2">
      <c r="A3" s="5"/>
      <c r="B3" s="6"/>
      <c r="C3" s="6"/>
      <c r="D3" s="6"/>
      <c r="E3" s="6"/>
      <c r="F3" s="6"/>
      <c r="G3" s="6"/>
      <c r="H3" s="6"/>
      <c r="I3" s="6"/>
      <c r="J3" s="6"/>
      <c r="K3" s="6"/>
      <c r="L3" s="6"/>
      <c r="M3" s="9"/>
      <c r="N3" s="5"/>
      <c r="O3" s="6"/>
      <c r="P3" s="9"/>
    </row>
    <row r="4" spans="1:16" ht="18.75" customHeight="1" thickBot="1" x14ac:dyDescent="0.2"/>
    <row r="5" spans="1:16" x14ac:dyDescent="0.15">
      <c r="A5" s="1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3"/>
    </row>
    <row r="6" spans="1:16" x14ac:dyDescent="0.15">
      <c r="A6" s="4"/>
      <c r="B6" s="10" t="s">
        <v>215</v>
      </c>
      <c r="D6" s="251" t="s">
        <v>239</v>
      </c>
      <c r="E6" s="10"/>
      <c r="F6" s="10"/>
      <c r="G6" s="10"/>
      <c r="H6" s="10"/>
      <c r="P6" s="8"/>
    </row>
    <row r="7" spans="1:16" x14ac:dyDescent="0.15">
      <c r="A7" s="4"/>
      <c r="B7" s="10" t="s">
        <v>216</v>
      </c>
      <c r="D7" s="251" t="s">
        <v>240</v>
      </c>
      <c r="E7" s="10"/>
      <c r="F7" s="10"/>
      <c r="G7" s="10"/>
      <c r="H7" s="10"/>
      <c r="P7" s="8"/>
    </row>
    <row r="8" spans="1:16" x14ac:dyDescent="0.15">
      <c r="A8" s="4"/>
      <c r="B8" s="10" t="s">
        <v>2</v>
      </c>
      <c r="D8" s="251" t="s">
        <v>241</v>
      </c>
      <c r="E8" s="10"/>
      <c r="F8" s="10"/>
      <c r="G8" s="10"/>
      <c r="H8" s="10"/>
      <c r="P8" s="8"/>
    </row>
    <row r="9" spans="1:16" ht="14" thickBot="1" x14ac:dyDescent="0.2">
      <c r="A9" s="5"/>
      <c r="B9" s="6"/>
      <c r="C9" s="6"/>
      <c r="D9" s="6"/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9"/>
    </row>
    <row r="10" spans="1:16" ht="14" thickBot="1" x14ac:dyDescent="0.2"/>
    <row r="11" spans="1:16" ht="14" thickBot="1" x14ac:dyDescent="0.2">
      <c r="A11" s="15" t="s">
        <v>220</v>
      </c>
      <c r="B11" s="16"/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59"/>
      <c r="N11" s="159"/>
      <c r="O11" s="159"/>
      <c r="P11" s="160"/>
    </row>
    <row r="12" spans="1:16" ht="14" thickBot="1" x14ac:dyDescent="0.2"/>
    <row r="13" spans="1:16" x14ac:dyDescent="0.15">
      <c r="A13" s="14" t="s">
        <v>222</v>
      </c>
      <c r="B13" s="12"/>
      <c r="C13" s="11"/>
      <c r="D13" s="12"/>
      <c r="E13" s="12"/>
      <c r="F13" s="12"/>
      <c r="G13" s="11"/>
      <c r="H13" s="12"/>
      <c r="I13" s="11"/>
      <c r="J13" s="12"/>
      <c r="K13" s="12"/>
      <c r="L13" s="12"/>
      <c r="M13" s="12"/>
      <c r="N13" s="12"/>
      <c r="O13" s="12"/>
      <c r="P13" s="13"/>
    </row>
    <row r="14" spans="1:16" x14ac:dyDescent="0.15">
      <c r="A14" s="4"/>
      <c r="P14" s="8"/>
    </row>
    <row r="15" spans="1:16" x14ac:dyDescent="0.15">
      <c r="A15" s="4"/>
      <c r="P15" s="8"/>
    </row>
    <row r="16" spans="1:16" x14ac:dyDescent="0.15">
      <c r="A16" s="4"/>
      <c r="P16" s="8"/>
    </row>
    <row r="17" spans="1:16" x14ac:dyDescent="0.15">
      <c r="A17" s="4"/>
      <c r="H17" t="s">
        <v>154</v>
      </c>
      <c r="P17" s="8"/>
    </row>
    <row r="18" spans="1:16" ht="15" x14ac:dyDescent="0.2">
      <c r="A18" s="4"/>
      <c r="H18" s="28" t="s">
        <v>155</v>
      </c>
      <c r="P18" s="8"/>
    </row>
    <row r="19" spans="1:16" ht="15" x14ac:dyDescent="0.2">
      <c r="A19" s="4"/>
      <c r="H19" s="28" t="s">
        <v>159</v>
      </c>
      <c r="P19" s="8"/>
    </row>
    <row r="20" spans="1:16" x14ac:dyDescent="0.15">
      <c r="A20" s="4"/>
      <c r="H20" s="28" t="s">
        <v>160</v>
      </c>
      <c r="P20" s="8"/>
    </row>
    <row r="21" spans="1:16" x14ac:dyDescent="0.15">
      <c r="A21" s="4"/>
      <c r="H21" s="28" t="s">
        <v>161</v>
      </c>
      <c r="P21" s="8"/>
    </row>
    <row r="22" spans="1:16" x14ac:dyDescent="0.15">
      <c r="A22" s="4"/>
      <c r="P22" s="8"/>
    </row>
    <row r="23" spans="1:16" x14ac:dyDescent="0.15">
      <c r="A23" s="4"/>
      <c r="P23" s="8"/>
    </row>
    <row r="24" spans="1:16" ht="14" thickBot="1" x14ac:dyDescent="0.2">
      <c r="A24" s="4"/>
      <c r="P24" s="8"/>
    </row>
    <row r="25" spans="1:16" ht="14" thickBot="1" x14ac:dyDescent="0.2">
      <c r="A25" s="32"/>
      <c r="B25" s="32"/>
      <c r="C25" s="32"/>
      <c r="D25" s="32"/>
      <c r="E25" s="32"/>
      <c r="F25" s="32"/>
      <c r="G25" s="32"/>
      <c r="H25" s="32"/>
      <c r="I25" s="32"/>
      <c r="J25" s="32"/>
      <c r="K25" s="32"/>
      <c r="L25" s="32"/>
      <c r="M25" s="32"/>
      <c r="N25" s="32"/>
      <c r="O25" s="32"/>
      <c r="P25" s="32"/>
    </row>
    <row r="26" spans="1:16" x14ac:dyDescent="0.15">
      <c r="A26" s="14" t="s">
        <v>221</v>
      </c>
      <c r="B26" s="12"/>
      <c r="C26" s="11"/>
      <c r="D26" s="12"/>
      <c r="E26" s="12"/>
      <c r="F26" s="12"/>
      <c r="G26" s="11"/>
      <c r="H26" s="12"/>
      <c r="I26" s="11"/>
      <c r="J26" s="12"/>
      <c r="K26" s="12"/>
      <c r="L26" s="12"/>
      <c r="M26" s="12"/>
      <c r="N26" s="12"/>
      <c r="O26" s="12"/>
      <c r="P26" s="13"/>
    </row>
    <row r="27" spans="1:16" x14ac:dyDescent="0.15">
      <c r="A27" s="4"/>
      <c r="P27" s="8"/>
    </row>
    <row r="28" spans="1:16" x14ac:dyDescent="0.15">
      <c r="A28" s="4"/>
      <c r="D28" s="28" t="s">
        <v>144</v>
      </c>
      <c r="P28" s="8"/>
    </row>
    <row r="29" spans="1:16" ht="14.25" customHeight="1" x14ac:dyDescent="0.15">
      <c r="A29" s="4"/>
      <c r="D29" s="28" t="s">
        <v>153</v>
      </c>
      <c r="P29" s="8"/>
    </row>
    <row r="30" spans="1:16" ht="14.25" customHeight="1" x14ac:dyDescent="0.15">
      <c r="A30" s="4"/>
      <c r="D30" s="28" t="s">
        <v>146</v>
      </c>
      <c r="P30" s="8"/>
    </row>
    <row r="31" spans="1:16" x14ac:dyDescent="0.15">
      <c r="A31" s="4"/>
      <c r="D31" s="122" t="s">
        <v>226</v>
      </c>
      <c r="P31" s="8"/>
    </row>
    <row r="32" spans="1:16" x14ac:dyDescent="0.15">
      <c r="A32" s="4"/>
      <c r="D32" s="28" t="s">
        <v>149</v>
      </c>
      <c r="P32" s="8"/>
    </row>
    <row r="33" spans="1:16" x14ac:dyDescent="0.15">
      <c r="A33" s="4"/>
      <c r="D33" s="28" t="s">
        <v>147</v>
      </c>
      <c r="P33" s="8"/>
    </row>
    <row r="34" spans="1:16" x14ac:dyDescent="0.15">
      <c r="A34" s="4"/>
      <c r="D34" s="28" t="s">
        <v>148</v>
      </c>
      <c r="P34" s="8"/>
    </row>
    <row r="35" spans="1:16" ht="14" thickBot="1" x14ac:dyDescent="0.2">
      <c r="A35" s="4"/>
      <c r="P35" s="8"/>
    </row>
    <row r="36" spans="1:16" ht="14" thickBot="1" x14ac:dyDescent="0.2">
      <c r="A36" s="32"/>
      <c r="B36" s="32"/>
      <c r="C36" s="32"/>
      <c r="D36" s="32"/>
      <c r="E36" s="32"/>
      <c r="F36" s="32"/>
      <c r="G36" s="32"/>
      <c r="H36" s="32"/>
      <c r="I36" s="32"/>
      <c r="J36" s="32"/>
      <c r="K36" s="32"/>
      <c r="L36" s="32"/>
      <c r="M36" s="32"/>
      <c r="N36" s="32"/>
      <c r="O36" s="32"/>
      <c r="P36" s="32"/>
    </row>
    <row r="37" spans="1:16" x14ac:dyDescent="0.15">
      <c r="A37" s="14" t="s">
        <v>187</v>
      </c>
      <c r="B37" s="12"/>
      <c r="C37" s="11"/>
      <c r="D37" s="12"/>
      <c r="E37" s="12"/>
      <c r="F37" s="12"/>
      <c r="G37" s="11"/>
      <c r="H37" s="12"/>
      <c r="I37" s="11"/>
      <c r="J37" s="12"/>
      <c r="K37" s="12"/>
      <c r="L37" s="12"/>
      <c r="M37" s="12"/>
      <c r="N37" s="12"/>
      <c r="O37" s="12"/>
      <c r="P37" s="13"/>
    </row>
    <row r="38" spans="1:16" x14ac:dyDescent="0.15">
      <c r="A38" s="4"/>
      <c r="P38" s="8"/>
    </row>
    <row r="39" spans="1:16" x14ac:dyDescent="0.15">
      <c r="A39" s="4"/>
      <c r="F39" s="10" t="s">
        <v>150</v>
      </c>
      <c r="P39" s="8"/>
    </row>
    <row r="40" spans="1:16" x14ac:dyDescent="0.15">
      <c r="A40" s="4"/>
      <c r="F40" t="s">
        <v>99</v>
      </c>
      <c r="G40" s="282">
        <v>1.5</v>
      </c>
      <c r="H40" s="282">
        <v>2</v>
      </c>
      <c r="I40" s="282">
        <v>2.5</v>
      </c>
      <c r="J40" s="282">
        <v>3</v>
      </c>
      <c r="K40" s="282">
        <v>3.5</v>
      </c>
      <c r="P40" s="8"/>
    </row>
    <row r="41" spans="1:16" x14ac:dyDescent="0.15">
      <c r="A41" s="4"/>
      <c r="F41" s="10" t="s">
        <v>98</v>
      </c>
      <c r="G41" s="98"/>
      <c r="P41" s="8"/>
    </row>
    <row r="42" spans="1:16" x14ac:dyDescent="0.15">
      <c r="A42" s="4"/>
      <c r="F42" t="s">
        <v>86</v>
      </c>
      <c r="G42" s="283">
        <v>0.5</v>
      </c>
      <c r="H42" t="s">
        <v>14</v>
      </c>
      <c r="P42" s="8"/>
    </row>
    <row r="43" spans="1:16" x14ac:dyDescent="0.15">
      <c r="A43" s="4"/>
      <c r="F43" s="10" t="s">
        <v>156</v>
      </c>
      <c r="P43" s="8"/>
    </row>
    <row r="44" spans="1:16" ht="15" x14ac:dyDescent="0.2">
      <c r="A44" s="4"/>
      <c r="F44" t="s">
        <v>157</v>
      </c>
      <c r="G44" s="284">
        <v>35</v>
      </c>
      <c r="H44" t="s">
        <v>59</v>
      </c>
      <c r="P44" s="8"/>
    </row>
    <row r="45" spans="1:16" ht="14" thickBot="1" x14ac:dyDescent="0.2">
      <c r="A45" s="4"/>
      <c r="P45" s="8"/>
    </row>
    <row r="46" spans="1:16" ht="14" thickBot="1" x14ac:dyDescent="0.2">
      <c r="A46" s="32"/>
      <c r="B46" s="32"/>
      <c r="C46" s="32"/>
      <c r="D46" s="32"/>
      <c r="E46" s="32"/>
      <c r="F46" s="32"/>
      <c r="G46" s="32"/>
      <c r="H46" s="32"/>
      <c r="I46" s="32"/>
      <c r="J46" s="32"/>
      <c r="K46" s="32"/>
      <c r="L46" s="32"/>
      <c r="M46" s="32"/>
      <c r="N46" s="32"/>
      <c r="O46" s="32"/>
      <c r="P46" s="32"/>
    </row>
    <row r="47" spans="1:16" x14ac:dyDescent="0.15">
      <c r="A47" s="14" t="s">
        <v>223</v>
      </c>
      <c r="B47" s="12"/>
      <c r="C47" s="11"/>
      <c r="D47" s="12"/>
      <c r="E47" s="12"/>
      <c r="F47" s="12"/>
      <c r="G47" s="11"/>
      <c r="H47" s="12"/>
      <c r="I47" s="11"/>
      <c r="J47" s="12"/>
      <c r="K47" s="12"/>
      <c r="L47" s="12"/>
      <c r="M47" s="12"/>
      <c r="N47" s="12"/>
      <c r="O47" s="12"/>
      <c r="P47" s="13"/>
    </row>
    <row r="48" spans="1:16" ht="14.25" customHeight="1" x14ac:dyDescent="0.15">
      <c r="A48" s="4"/>
      <c r="P48" s="8"/>
    </row>
    <row r="49" spans="1:35" ht="13.5" customHeight="1" x14ac:dyDescent="0.15">
      <c r="A49" s="4"/>
      <c r="B49" s="379" t="s">
        <v>225</v>
      </c>
      <c r="C49" s="380"/>
      <c r="D49" s="380"/>
      <c r="E49" s="380"/>
      <c r="F49" s="381"/>
      <c r="I49" s="173" t="s">
        <v>145</v>
      </c>
      <c r="J49" s="166"/>
      <c r="K49" s="166"/>
      <c r="L49" s="166"/>
      <c r="M49" s="167"/>
      <c r="P49" s="8"/>
    </row>
    <row r="50" spans="1:35" ht="13.5" customHeight="1" x14ac:dyDescent="0.15">
      <c r="A50" s="4"/>
      <c r="B50" s="382"/>
      <c r="C50" s="383"/>
      <c r="D50" s="383"/>
      <c r="E50" s="383"/>
      <c r="F50" s="384"/>
      <c r="I50" s="172">
        <f>G40</f>
        <v>1.5</v>
      </c>
      <c r="J50" s="172">
        <f>H40</f>
        <v>2</v>
      </c>
      <c r="K50" s="172">
        <f>I40</f>
        <v>2.5</v>
      </c>
      <c r="L50" s="172">
        <f>J40</f>
        <v>3</v>
      </c>
      <c r="M50" s="172">
        <f>K40</f>
        <v>3.5</v>
      </c>
      <c r="P50" s="8"/>
    </row>
    <row r="51" spans="1:35" ht="13.5" customHeight="1" x14ac:dyDescent="0.15">
      <c r="A51" s="4"/>
      <c r="B51" s="382"/>
      <c r="C51" s="383"/>
      <c r="D51" s="383"/>
      <c r="E51" s="383"/>
      <c r="F51" s="384"/>
      <c r="I51" s="169" t="s">
        <v>20</v>
      </c>
      <c r="J51" s="170"/>
      <c r="K51" s="170"/>
      <c r="L51" s="170"/>
      <c r="M51" s="171"/>
      <c r="P51" s="8"/>
    </row>
    <row r="52" spans="1:35" ht="12.75" customHeight="1" x14ac:dyDescent="0.15">
      <c r="A52" s="4"/>
      <c r="B52" s="385"/>
      <c r="C52" s="386"/>
      <c r="D52" s="386"/>
      <c r="E52" s="386"/>
      <c r="F52" s="387"/>
      <c r="H52" s="168" t="s">
        <v>18</v>
      </c>
      <c r="I52" s="172">
        <f>MAX(0,$G42-0.5*I50)</f>
        <v>0</v>
      </c>
      <c r="J52" s="172">
        <f>MAX(0,$G42-0.5*J50)</f>
        <v>0</v>
      </c>
      <c r="K52" s="172">
        <f>MAX(0,$G42-0.5*K50)</f>
        <v>0</v>
      </c>
      <c r="L52" s="172">
        <f>MAX(0,$G42-0.5*L50)</f>
        <v>0</v>
      </c>
      <c r="M52" s="172">
        <f>MAX(0,$G42-0.5*M50)</f>
        <v>0</v>
      </c>
      <c r="P52" s="8"/>
    </row>
    <row r="53" spans="1:35" x14ac:dyDescent="0.15">
      <c r="A53" s="4"/>
      <c r="B53" s="277"/>
      <c r="C53" s="277"/>
      <c r="D53" s="277"/>
      <c r="E53" s="277"/>
      <c r="F53" s="277"/>
      <c r="H53" s="168" t="s">
        <v>19</v>
      </c>
      <c r="I53" s="172">
        <f>$G42+2*I50</f>
        <v>3.5</v>
      </c>
      <c r="J53" s="172">
        <f>$G42+2*J50</f>
        <v>4.5</v>
      </c>
      <c r="K53" s="172">
        <f>$G42+2*K50</f>
        <v>5.5</v>
      </c>
      <c r="L53" s="172">
        <f>$G42+2*L50</f>
        <v>6.5</v>
      </c>
      <c r="M53" s="172">
        <f>$G42+2*M50</f>
        <v>7.5</v>
      </c>
      <c r="P53" s="8"/>
    </row>
    <row r="54" spans="1:35" ht="12.75" customHeight="1" x14ac:dyDescent="0.15">
      <c r="A54" s="4"/>
      <c r="H54" s="168" t="s">
        <v>234</v>
      </c>
      <c r="I54" s="172">
        <f>I53-I52</f>
        <v>3.5</v>
      </c>
      <c r="J54" s="172">
        <f>J53-J52</f>
        <v>4.5</v>
      </c>
      <c r="K54" s="172">
        <f>K53-K52</f>
        <v>5.5</v>
      </c>
      <c r="L54" s="172">
        <f>L53-L52</f>
        <v>6.5</v>
      </c>
      <c r="M54" s="172">
        <f>M53-M52</f>
        <v>7.5</v>
      </c>
      <c r="P54" s="8"/>
    </row>
    <row r="55" spans="1:35" ht="12.75" customHeight="1" thickBot="1" x14ac:dyDescent="0.2">
      <c r="A55" s="4"/>
      <c r="H55" s="278"/>
      <c r="I55" s="279"/>
      <c r="J55" s="279"/>
      <c r="K55" s="279"/>
      <c r="L55" s="279"/>
      <c r="M55" s="279"/>
      <c r="P55" s="8"/>
    </row>
    <row r="56" spans="1:35" ht="24.75" customHeight="1" x14ac:dyDescent="0.2">
      <c r="A56" s="4"/>
      <c r="C56" s="392" t="s">
        <v>212</v>
      </c>
      <c r="D56" s="162" t="s">
        <v>12</v>
      </c>
      <c r="E56" s="162" t="s">
        <v>13</v>
      </c>
      <c r="F56" s="162" t="s">
        <v>15</v>
      </c>
      <c r="G56" s="202" t="s">
        <v>17</v>
      </c>
      <c r="H56" s="203"/>
      <c r="I56" s="404" t="s">
        <v>224</v>
      </c>
      <c r="J56" s="404"/>
      <c r="K56" s="404"/>
      <c r="L56" s="404"/>
      <c r="M56" s="405"/>
      <c r="P56" s="8"/>
    </row>
    <row r="57" spans="1:35" ht="14.25" customHeight="1" thickBot="1" x14ac:dyDescent="0.2">
      <c r="A57" s="4"/>
      <c r="C57" s="393"/>
      <c r="D57" s="163" t="s">
        <v>14</v>
      </c>
      <c r="E57" s="161" t="s">
        <v>14</v>
      </c>
      <c r="F57" s="163" t="s">
        <v>14</v>
      </c>
      <c r="G57" s="204"/>
      <c r="H57" s="205"/>
      <c r="I57" s="406"/>
      <c r="J57" s="406"/>
      <c r="K57" s="406"/>
      <c r="L57" s="406"/>
      <c r="M57" s="407"/>
      <c r="P57" s="8"/>
    </row>
    <row r="58" spans="1:35" ht="14.25" customHeight="1" x14ac:dyDescent="0.15">
      <c r="A58" s="4"/>
      <c r="B58" s="164" t="s">
        <v>7</v>
      </c>
      <c r="C58" s="285" t="s">
        <v>238</v>
      </c>
      <c r="D58" s="286">
        <v>0</v>
      </c>
      <c r="E58" s="247">
        <f>D59</f>
        <v>3</v>
      </c>
      <c r="F58" s="248">
        <f>E58-D58</f>
        <v>3</v>
      </c>
      <c r="G58" s="388">
        <v>30</v>
      </c>
      <c r="H58" s="389"/>
      <c r="I58" s="274">
        <f>IF(AND($D58&lt;=I$52,I$52&lt;$E58),IF(I$53&gt;$E58,$E58-I$52,I$53-I$52),IF(AND($D58&lt;=I$53,I$53&lt;=$E58),I$53-$D58,IF(AND(I$52&lt;$D58,$E58&lt;I$53),$F58,0)))</f>
        <v>3</v>
      </c>
      <c r="J58" s="249">
        <f t="shared" ref="J58:M62" si="0">IF(AND($D58&lt;=J$52,J$52&lt;$E58),IF(J$53&gt;$E58,$E58-J$52,J$53-J$52),IF(AND($D58&lt;=J$53,J$53&lt;=$E58),J$53-$D58,IF(AND(J$52&lt;$D58,$E58&lt;J$53),$F58,0)))</f>
        <v>3</v>
      </c>
      <c r="K58" s="249">
        <f t="shared" si="0"/>
        <v>3</v>
      </c>
      <c r="L58" s="249">
        <f t="shared" si="0"/>
        <v>3</v>
      </c>
      <c r="M58" s="275">
        <f t="shared" si="0"/>
        <v>3</v>
      </c>
      <c r="P58" s="8"/>
    </row>
    <row r="59" spans="1:35" ht="14.25" customHeight="1" x14ac:dyDescent="0.15">
      <c r="A59" s="4"/>
      <c r="B59" s="82" t="s">
        <v>8</v>
      </c>
      <c r="C59" s="285" t="s">
        <v>238</v>
      </c>
      <c r="D59" s="286">
        <v>3</v>
      </c>
      <c r="E59" s="247">
        <f>D60</f>
        <v>6</v>
      </c>
      <c r="F59" s="249">
        <f>E59-D59</f>
        <v>3</v>
      </c>
      <c r="G59" s="388">
        <v>30</v>
      </c>
      <c r="H59" s="389"/>
      <c r="I59" s="249">
        <f>IF(AND($D59&lt;=I$52,I$52&lt;$E59),IF(I$53&gt;$E59,$E59-I$52,I$53-I$52),IF(AND($D59&lt;=I$53,I$53&lt;=$E59),I$53-$D59,IF(AND(I$52&lt;$D59,$E59&lt;I$53),$F59,0)))</f>
        <v>0.5</v>
      </c>
      <c r="J59" s="249">
        <f t="shared" si="0"/>
        <v>1.5</v>
      </c>
      <c r="K59" s="249">
        <f t="shared" si="0"/>
        <v>2.5</v>
      </c>
      <c r="L59" s="249">
        <f t="shared" si="0"/>
        <v>3</v>
      </c>
      <c r="M59" s="275">
        <f t="shared" si="0"/>
        <v>3</v>
      </c>
      <c r="P59" s="8"/>
      <c r="AI59" s="98"/>
    </row>
    <row r="60" spans="1:35" ht="14.25" customHeight="1" x14ac:dyDescent="0.15">
      <c r="A60" s="4"/>
      <c r="B60" s="82" t="s">
        <v>9</v>
      </c>
      <c r="C60" s="285" t="s">
        <v>238</v>
      </c>
      <c r="D60" s="286">
        <v>6</v>
      </c>
      <c r="E60" s="247">
        <f>D61</f>
        <v>9</v>
      </c>
      <c r="F60" s="249">
        <f>E60-D60</f>
        <v>3</v>
      </c>
      <c r="G60" s="388">
        <v>60</v>
      </c>
      <c r="H60" s="389"/>
      <c r="I60" s="249">
        <f>IF(AND($D60&lt;=I$52,I$52&lt;$E60),IF(I$53&gt;$E60,$E60-I$52,I$53-I$52),IF(AND($D60&lt;=I$53,I$53&lt;=$E60),I$53-$D60,IF(AND(I$52&lt;$D60,$E60&lt;I$53),$F60,0)))</f>
        <v>0</v>
      </c>
      <c r="J60" s="249">
        <f t="shared" si="0"/>
        <v>0</v>
      </c>
      <c r="K60" s="249">
        <f t="shared" si="0"/>
        <v>0</v>
      </c>
      <c r="L60" s="249">
        <f t="shared" si="0"/>
        <v>0.5</v>
      </c>
      <c r="M60" s="275">
        <f t="shared" si="0"/>
        <v>1.5</v>
      </c>
      <c r="P60" s="8"/>
    </row>
    <row r="61" spans="1:35" ht="14.25" customHeight="1" x14ac:dyDescent="0.15">
      <c r="A61" s="4"/>
      <c r="B61" s="82" t="s">
        <v>10</v>
      </c>
      <c r="C61" s="285" t="s">
        <v>238</v>
      </c>
      <c r="D61" s="286">
        <v>9</v>
      </c>
      <c r="E61" s="247">
        <f>D62</f>
        <v>10</v>
      </c>
      <c r="F61" s="249">
        <f>E61-D61</f>
        <v>1</v>
      </c>
      <c r="G61" s="388">
        <v>60</v>
      </c>
      <c r="H61" s="389"/>
      <c r="I61" s="249">
        <f>IF(AND($D61&lt;=I$52,I$52&lt;$E61),IF(I$53&gt;$E61,$E61-I$52,I$53-I$52),IF(AND($D61&lt;=I$53,I$53&lt;=$E61),I$53-$D61,IF(AND(I$52&lt;$D61,$E61&lt;I$53),$F61,0)))</f>
        <v>0</v>
      </c>
      <c r="J61" s="249">
        <f t="shared" si="0"/>
        <v>0</v>
      </c>
      <c r="K61" s="249">
        <f t="shared" si="0"/>
        <v>0</v>
      </c>
      <c r="L61" s="249">
        <f t="shared" si="0"/>
        <v>0</v>
      </c>
      <c r="M61" s="275">
        <f t="shared" si="0"/>
        <v>0</v>
      </c>
      <c r="P61" s="8"/>
    </row>
    <row r="62" spans="1:35" ht="14.25" customHeight="1" thickBot="1" x14ac:dyDescent="0.2">
      <c r="A62" s="4"/>
      <c r="B62" s="165" t="s">
        <v>11</v>
      </c>
      <c r="C62" s="287" t="s">
        <v>238</v>
      </c>
      <c r="D62" s="288">
        <v>10</v>
      </c>
      <c r="E62" s="289">
        <v>12</v>
      </c>
      <c r="F62" s="250">
        <f>E62-D62</f>
        <v>2</v>
      </c>
      <c r="G62" s="390">
        <v>60</v>
      </c>
      <c r="H62" s="391"/>
      <c r="I62" s="250">
        <f>IF(AND($D62&lt;=I$52,I$52&lt;$E62),IF(I$53&gt;$E62,$E62-I$52,I$53-I$52),IF(AND($D62&lt;=I$53,I$53&lt;=$E62),I$53-$D62,IF(AND(I$52&lt;$D62,$E62&lt;I$53),$F62,0)))</f>
        <v>0</v>
      </c>
      <c r="J62" s="250">
        <f t="shared" si="0"/>
        <v>0</v>
      </c>
      <c r="K62" s="250">
        <f t="shared" si="0"/>
        <v>0</v>
      </c>
      <c r="L62" s="250">
        <f t="shared" si="0"/>
        <v>0</v>
      </c>
      <c r="M62" s="276">
        <f t="shared" si="0"/>
        <v>0</v>
      </c>
      <c r="P62" s="8"/>
    </row>
    <row r="63" spans="1:35" ht="14.25" customHeight="1" thickBot="1" x14ac:dyDescent="0.25">
      <c r="A63" s="4"/>
      <c r="B63" s="307"/>
      <c r="C63" s="313"/>
      <c r="D63" s="314"/>
      <c r="E63" s="308" t="s">
        <v>235</v>
      </c>
      <c r="F63" s="309">
        <f>SUM(F58:F62)</f>
        <v>12</v>
      </c>
      <c r="G63" s="310" t="s">
        <v>236</v>
      </c>
      <c r="H63" s="311"/>
      <c r="I63" s="312" t="str">
        <f>IF($F63&gt;=I54,"SI","NO")</f>
        <v>SI</v>
      </c>
      <c r="J63" s="312" t="str">
        <f>IF($F63&gt;=J54,"SI","NO")</f>
        <v>SI</v>
      </c>
      <c r="K63" s="312" t="str">
        <f>IF($F63&gt;=K54,"SI","NO")</f>
        <v>SI</v>
      </c>
      <c r="L63" s="312" t="str">
        <f>IF($F63&gt;=L54,"SI","NO")</f>
        <v>SI</v>
      </c>
      <c r="M63" s="309" t="str">
        <f>IF($F63&gt;=M54,"SI","NO")</f>
        <v>SI</v>
      </c>
      <c r="P63" s="8"/>
    </row>
    <row r="64" spans="1:35" ht="14.25" customHeight="1" thickBot="1" x14ac:dyDescent="0.2">
      <c r="A64" s="4"/>
      <c r="P64" s="8"/>
    </row>
    <row r="65" spans="1:16" ht="14.25" customHeight="1" thickBot="1" x14ac:dyDescent="0.2">
      <c r="A65" s="32"/>
      <c r="B65" s="32"/>
      <c r="C65" s="32"/>
      <c r="D65" s="32"/>
      <c r="E65" s="32"/>
      <c r="F65" s="32"/>
      <c r="G65" s="32"/>
      <c r="H65" s="32"/>
      <c r="I65" s="32"/>
      <c r="J65" s="32"/>
      <c r="K65" s="32"/>
      <c r="L65" s="32"/>
      <c r="M65" s="32"/>
      <c r="N65" s="32"/>
      <c r="O65" s="32"/>
      <c r="P65" s="32"/>
    </row>
    <row r="66" spans="1:16" ht="14.25" customHeight="1" x14ac:dyDescent="0.15">
      <c r="A66" s="14" t="s">
        <v>213</v>
      </c>
      <c r="B66" s="12"/>
      <c r="C66" s="11"/>
      <c r="D66" s="12"/>
      <c r="E66" s="12"/>
      <c r="F66" s="12"/>
      <c r="G66" s="11"/>
      <c r="H66" s="12"/>
      <c r="I66" s="11"/>
      <c r="J66" s="12"/>
      <c r="K66" s="12"/>
      <c r="L66" s="12"/>
      <c r="M66" s="12"/>
      <c r="N66" s="12"/>
      <c r="O66" s="12"/>
      <c r="P66" s="13"/>
    </row>
    <row r="67" spans="1:16" ht="14.25" customHeight="1" thickBot="1" x14ac:dyDescent="0.2">
      <c r="A67" s="4"/>
      <c r="P67" s="8"/>
    </row>
    <row r="68" spans="1:16" ht="14.25" customHeight="1" x14ac:dyDescent="0.15">
      <c r="A68" s="4"/>
      <c r="D68" s="408" t="s">
        <v>120</v>
      </c>
      <c r="E68" s="409"/>
      <c r="F68" s="398" t="s">
        <v>151</v>
      </c>
      <c r="G68" s="399"/>
      <c r="H68" s="398" t="s">
        <v>152</v>
      </c>
      <c r="I68" s="399"/>
      <c r="J68" s="398" t="s">
        <v>158</v>
      </c>
      <c r="K68" s="399"/>
      <c r="L68" s="394" t="s">
        <v>233</v>
      </c>
      <c r="M68" s="395"/>
      <c r="P68" s="8"/>
    </row>
    <row r="69" spans="1:16" ht="12.75" customHeight="1" x14ac:dyDescent="0.15">
      <c r="A69" s="4"/>
      <c r="D69" s="410"/>
      <c r="E69" s="411"/>
      <c r="F69" s="400"/>
      <c r="G69" s="401"/>
      <c r="H69" s="400"/>
      <c r="I69" s="401"/>
      <c r="J69" s="400"/>
      <c r="K69" s="401"/>
      <c r="L69" s="396"/>
      <c r="M69" s="397"/>
      <c r="P69" s="8"/>
    </row>
    <row r="70" spans="1:16" ht="12.75" customHeight="1" x14ac:dyDescent="0.15">
      <c r="A70" s="4"/>
      <c r="D70" s="183" t="s">
        <v>14</v>
      </c>
      <c r="E70" s="175"/>
      <c r="F70" s="194" t="s">
        <v>18</v>
      </c>
      <c r="G70" s="198" t="s">
        <v>19</v>
      </c>
      <c r="H70" s="402"/>
      <c r="I70" s="403"/>
      <c r="J70" s="402"/>
      <c r="K70" s="403"/>
      <c r="L70" s="182" t="s">
        <v>0</v>
      </c>
      <c r="M70" s="195"/>
    </row>
    <row r="71" spans="1:16" ht="12.75" customHeight="1" x14ac:dyDescent="0.15">
      <c r="A71" s="4"/>
      <c r="D71" s="184">
        <f>G40</f>
        <v>1.5</v>
      </c>
      <c r="E71" s="176"/>
      <c r="F71" s="196">
        <f>I52</f>
        <v>0</v>
      </c>
      <c r="G71" s="197">
        <f>I53</f>
        <v>3.5</v>
      </c>
      <c r="H71" s="180">
        <f>(I58*$G58+I59*$G59+I60*$G60+I61*$G61+I62*$G62)/(I53-I52)</f>
        <v>30</v>
      </c>
      <c r="I71" s="181"/>
      <c r="J71" s="200">
        <f>MIN(1+G$42/(3*D71),1.3)</f>
        <v>1.1111111111111112</v>
      </c>
      <c r="K71" s="181"/>
      <c r="L71" s="149">
        <f>IF(D71&lt;1.2,12*H71*J71,8*H71*J71*((D71+0.3)/D71)^2)/1000*(G$44/25)</f>
        <v>0.53759999999999997</v>
      </c>
      <c r="M71" s="185"/>
    </row>
    <row r="72" spans="1:16" x14ac:dyDescent="0.15">
      <c r="A72" s="4"/>
      <c r="D72" s="184">
        <f>H40</f>
        <v>2</v>
      </c>
      <c r="E72" s="176"/>
      <c r="F72" s="174">
        <f>J52</f>
        <v>0</v>
      </c>
      <c r="G72" s="177">
        <f>J53</f>
        <v>4.5</v>
      </c>
      <c r="H72" s="178">
        <f>(J58*$G58+J59*$G59+J60*$G60+J61*$G61+J62*$G62)/(J53-J52)</f>
        <v>30</v>
      </c>
      <c r="I72" s="179"/>
      <c r="J72" s="200">
        <f>MIN(1+G$42/(3*D72),1.3)</f>
        <v>1.0833333333333333</v>
      </c>
      <c r="K72" s="181"/>
      <c r="L72" s="149">
        <f>IF(D72&lt;1.2,12*H72*J72,8*H72*J72*((D72+0.3)/D72)^2)/1000*(G$44/25)</f>
        <v>0.48138999999999993</v>
      </c>
      <c r="M72" s="186"/>
    </row>
    <row r="73" spans="1:16" x14ac:dyDescent="0.15">
      <c r="A73" s="4"/>
      <c r="D73" s="184">
        <f>I40</f>
        <v>2.5</v>
      </c>
      <c r="E73" s="176"/>
      <c r="F73" s="174">
        <f>K52</f>
        <v>0</v>
      </c>
      <c r="G73" s="177">
        <f>K53</f>
        <v>5.5</v>
      </c>
      <c r="H73" s="178">
        <f>(K58*$G58+K59*$G59+K60*$G60+K61*$G61+K62*$G62)/(K53-K52)</f>
        <v>30</v>
      </c>
      <c r="I73" s="179"/>
      <c r="J73" s="200">
        <f>MIN(1+G$42/(3*D73),1.3)</f>
        <v>1.0666666666666667</v>
      </c>
      <c r="K73" s="181"/>
      <c r="L73" s="149">
        <f>IF(D73&lt;1.2,12*H73*J73,8*H73*J73*((D73+0.3)/D73)^2)/1000*(G$44/25)</f>
        <v>0.44957695999999986</v>
      </c>
      <c r="M73" s="186"/>
    </row>
    <row r="74" spans="1:16" x14ac:dyDescent="0.15">
      <c r="A74" s="4"/>
      <c r="D74" s="184">
        <f>J40</f>
        <v>3</v>
      </c>
      <c r="E74" s="176"/>
      <c r="F74" s="174">
        <f>L52</f>
        <v>0</v>
      </c>
      <c r="G74" s="177">
        <f>L53</f>
        <v>6.5</v>
      </c>
      <c r="H74" s="178">
        <f>(L58*$G58+L59*$G59+L60*$G60+L61*$G61+L62*$G62)/(L53-L52)</f>
        <v>32.307692307692307</v>
      </c>
      <c r="I74" s="179"/>
      <c r="J74" s="200">
        <f>MIN(1+G$42/(3*D74),1.3)</f>
        <v>1.0555555555555556</v>
      </c>
      <c r="K74" s="179"/>
      <c r="L74" s="149">
        <f>IF(D74&lt;1.2,12*H74*J74,8*H74*J74*((D74+0.3)/D74)^2)/1000*(G$44/25)</f>
        <v>0.46215794871794863</v>
      </c>
      <c r="M74" s="186"/>
    </row>
    <row r="75" spans="1:16" ht="14" thickBot="1" x14ac:dyDescent="0.2">
      <c r="A75" s="4"/>
      <c r="D75" s="187">
        <f>K40</f>
        <v>3.5</v>
      </c>
      <c r="E75" s="188"/>
      <c r="F75" s="189">
        <f>M52</f>
        <v>0</v>
      </c>
      <c r="G75" s="190">
        <f>M53</f>
        <v>7.5</v>
      </c>
      <c r="H75" s="191">
        <f>(M58*$G58+M59*$G59+M60*$G60+M61*$G61+M62*$G62)/(M53-M52)</f>
        <v>36</v>
      </c>
      <c r="I75" s="192"/>
      <c r="J75" s="201">
        <f>MIN(1+G$42/(3*D75),1.3)</f>
        <v>1.0476190476190477</v>
      </c>
      <c r="K75" s="199"/>
      <c r="L75" s="145">
        <f>IF(D75&lt;1.2,12*H75*J75,8*H75*J75*((D75+0.3)/D75)^2)/1000*(G$44/25)</f>
        <v>0.49791477551020402</v>
      </c>
      <c r="M75" s="193"/>
    </row>
    <row r="76" spans="1:16" x14ac:dyDescent="0.15">
      <c r="A76" s="4"/>
    </row>
    <row r="77" spans="1:16" x14ac:dyDescent="0.15">
      <c r="A77" s="4"/>
    </row>
    <row r="78" spans="1:16" x14ac:dyDescent="0.15">
      <c r="A78" s="4"/>
      <c r="P78" s="8"/>
    </row>
    <row r="79" spans="1:16" x14ac:dyDescent="0.15">
      <c r="A79" s="4"/>
      <c r="P79" s="8"/>
    </row>
    <row r="80" spans="1:16" x14ac:dyDescent="0.15">
      <c r="A80" s="4"/>
      <c r="P80" s="8"/>
    </row>
    <row r="81" spans="1:16" x14ac:dyDescent="0.15">
      <c r="A81" s="4"/>
      <c r="P81" s="8"/>
    </row>
    <row r="82" spans="1:16" x14ac:dyDescent="0.15">
      <c r="A82" s="4"/>
      <c r="P82" s="8"/>
    </row>
    <row r="83" spans="1:16" x14ac:dyDescent="0.15">
      <c r="A83" s="4"/>
      <c r="P83" s="8"/>
    </row>
    <row r="84" spans="1:16" x14ac:dyDescent="0.15">
      <c r="A84" s="4"/>
      <c r="P84" s="8"/>
    </row>
    <row r="85" spans="1:16" x14ac:dyDescent="0.15">
      <c r="A85" s="4"/>
      <c r="P85" s="8"/>
    </row>
    <row r="86" spans="1:16" x14ac:dyDescent="0.15">
      <c r="A86" s="4"/>
      <c r="P86" s="8"/>
    </row>
    <row r="87" spans="1:16" ht="12.75" customHeight="1" x14ac:dyDescent="0.15">
      <c r="A87" s="4"/>
      <c r="P87" s="8"/>
    </row>
    <row r="88" spans="1:16" x14ac:dyDescent="0.15">
      <c r="A88" s="4"/>
      <c r="P88" s="8"/>
    </row>
    <row r="89" spans="1:16" x14ac:dyDescent="0.15">
      <c r="A89" s="4"/>
      <c r="P89" s="8"/>
    </row>
    <row r="90" spans="1:16" x14ac:dyDescent="0.15">
      <c r="A90" s="4"/>
      <c r="P90" s="8"/>
    </row>
    <row r="91" spans="1:16" x14ac:dyDescent="0.15">
      <c r="A91" s="4"/>
      <c r="P91" s="8"/>
    </row>
    <row r="92" spans="1:16" x14ac:dyDescent="0.15">
      <c r="A92" s="4"/>
      <c r="P92" s="8"/>
    </row>
    <row r="93" spans="1:16" x14ac:dyDescent="0.15">
      <c r="A93" s="4"/>
      <c r="P93" s="8"/>
    </row>
    <row r="94" spans="1:16" x14ac:dyDescent="0.15">
      <c r="A94" s="4"/>
      <c r="P94" s="8"/>
    </row>
    <row r="95" spans="1:16" x14ac:dyDescent="0.15">
      <c r="A95" s="4"/>
      <c r="P95" s="8"/>
    </row>
    <row r="96" spans="1:16" x14ac:dyDescent="0.15">
      <c r="A96" s="4"/>
      <c r="P96" s="8"/>
    </row>
    <row r="97" spans="1:16" ht="14" thickBot="1" x14ac:dyDescent="0.2">
      <c r="A97" s="5"/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9"/>
    </row>
  </sheetData>
  <customSheetViews>
    <customSheetView guid="{65522948-B87D-4DE1-A919-A9DBF05A422E}" scale="85" showPageBreaks="1" showGridLines="0" printArea="1" view="pageBreakPreview" topLeftCell="A34">
      <selection activeCell="E58" sqref="E58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1"/>
      <headerFooter alignWithMargins="0"/>
    </customSheetView>
    <customSheetView guid="{7FD2F097-FB49-43FA-AD37-E78F103B659E}" scale="85" showPageBreaks="1" showGridLines="0" printArea="1" view="pageBreakPreview" showRuler="0" topLeftCell="A70">
      <selection activeCell="G43" sqref="G43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2"/>
      <headerFooter alignWithMargins="0"/>
    </customSheetView>
    <customSheetView guid="{12114348-3A8D-4935-A6F6-768010CCAE46}" scale="85" showPageBreaks="1" showGridLines="0" printArea="1" view="pageBreakPreview" showRuler="0" topLeftCell="A37">
      <selection activeCell="N60" sqref="N60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3"/>
      <headerFooter alignWithMargins="0"/>
    </customSheetView>
    <customSheetView guid="{20C30929-F252-406C-8D94-44905722B9D9}" scale="85" showPageBreaks="1" showGridLines="0" printArea="1" view="pageBreakPreview" showRuler="0" topLeftCell="A37">
      <selection activeCell="N60" sqref="N60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4"/>
      <headerFooter alignWithMargins="0"/>
    </customSheetView>
    <customSheetView guid="{8127D4AB-9453-4548-91B7-C6CE80D2789C}" scale="85" showPageBreaks="1" showGridLines="0" printArea="1" view="pageBreakPreview" showRuler="0">
      <selection activeCell="M60" sqref="M60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5"/>
      <headerFooter alignWithMargins="0"/>
    </customSheetView>
    <customSheetView guid="{6D1BF510-2AF1-43B4-AE7F-259F79E565AC}" scale="85" showPageBreaks="1" showGridLines="0" printArea="1" view="pageBreakPreview" showRuler="0" topLeftCell="A37">
      <selection activeCell="N60" sqref="N60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6"/>
      <headerFooter alignWithMargins="0"/>
    </customSheetView>
    <customSheetView guid="{543E864F-509F-4920-81D1-F8BE4AA5D61C}" scale="85" showPageBreaks="1" showGridLines="0" printArea="1" view="pageBreakPreview" showRuler="0" topLeftCell="A70">
      <selection activeCell="G43" sqref="G43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7"/>
      <headerFooter alignWithMargins="0"/>
    </customSheetView>
    <customSheetView guid="{2F909812-D728-4B8D-9839-2364091D9253}" scale="85" showPageBreaks="1" showGridLines="0" printArea="1" view="pageBreakPreview" showRuler="0" topLeftCell="A34">
      <selection activeCell="E58" sqref="E58"/>
      <colBreaks count="1" manualBreakCount="1">
        <brk id="16" max="93" man="1"/>
      </colBreaks>
      <pageMargins left="0.78740157480314965" right="0.78740157480314965" top="0.52" bottom="0.54" header="0" footer="0"/>
      <pageSetup paperSize="9" scale="54" fitToWidth="2" orientation="portrait" r:id="rId8"/>
      <headerFooter alignWithMargins="0"/>
    </customSheetView>
    <customSheetView guid="{5A0DBCB3-B2E7-4F2F-A73A-3B24630E7D1A}" scale="85" showPageBreaks="1" showGridLines="0" printArea="1" view="pageBreakPreview" topLeftCell="A34">
      <selection activeCell="E58" sqref="E58"/>
      <colBreaks count="2" manualBreakCount="2">
        <brk id="9" max="96" man="1"/>
        <brk id="16" max="93" man="1"/>
      </colBreaks>
      <pageMargins left="0.78740157480314965" right="0.78740157480314965" top="0.52" bottom="0.54" header="0" footer="0"/>
      <pageSetup paperSize="9" scale="54" fitToWidth="2" orientation="portrait" r:id="rId9"/>
      <headerFooter alignWithMargins="0"/>
    </customSheetView>
  </customSheetViews>
  <mergeCells count="13">
    <mergeCell ref="L68:M69"/>
    <mergeCell ref="J68:K70"/>
    <mergeCell ref="I56:M57"/>
    <mergeCell ref="D68:E69"/>
    <mergeCell ref="F68:G69"/>
    <mergeCell ref="H68:I70"/>
    <mergeCell ref="B49:F52"/>
    <mergeCell ref="G58:H58"/>
    <mergeCell ref="G62:H62"/>
    <mergeCell ref="G60:H60"/>
    <mergeCell ref="G59:H59"/>
    <mergeCell ref="C56:C57"/>
    <mergeCell ref="G61:H61"/>
  </mergeCells>
  <phoneticPr fontId="2" type="noConversion"/>
  <conditionalFormatting sqref="K71:K75 M71:M75 I71:I75 D71:G75">
    <cfRule type="cellIs" dxfId="3" priority="4" stopIfTrue="1" operator="equal">
      <formula>"SI"</formula>
    </cfRule>
    <cfRule type="cellIs" dxfId="2" priority="5" stopIfTrue="1" operator="equal">
      <formula>"NO"</formula>
    </cfRule>
  </conditionalFormatting>
  <conditionalFormatting sqref="AH59:AI59">
    <cfRule type="expression" dxfId="1" priority="7" stopIfTrue="1">
      <formula>IF($D$34="Circular",TRUE)</formula>
    </cfRule>
  </conditionalFormatting>
  <conditionalFormatting sqref="I63:M63">
    <cfRule type="cellIs" dxfId="0" priority="11" stopIfTrue="1" operator="equal">
      <formula>"NO"</formula>
    </cfRule>
  </conditionalFormatting>
  <dataValidations count="1">
    <dataValidation errorStyle="warning" allowBlank="1" showDropDown="1" showInputMessage="1" showErrorMessage="1" sqref="I63:M63" xr:uid="{0AE6D0C1-F09A-4D88-B443-5C6260A357BF}"/>
  </dataValidations>
  <pageMargins left="0.78740157480314965" right="0.78740157480314965" top="0.52" bottom="0.54" header="0" footer="0"/>
  <pageSetup paperSize="9" scale="54" fitToWidth="2" orientation="portrait" r:id="rId10"/>
  <headerFooter alignWithMargins="0"/>
  <colBreaks count="1" manualBreakCount="1">
    <brk id="16" max="93" man="1"/>
  </colBreaks>
  <drawing r:id="rId1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3</vt:i4>
      </vt:variant>
    </vt:vector>
  </HeadingPairs>
  <TitlesOfParts>
    <vt:vector size="6" baseType="lpstr">
      <vt:lpstr>ROCA</vt:lpstr>
      <vt:lpstr>SUELOS</vt:lpstr>
      <vt:lpstr>SUELOS GRANULARES</vt:lpstr>
      <vt:lpstr>ROCA!Área_de_impresión</vt:lpstr>
      <vt:lpstr>SUELOS!Área_de_impresión</vt:lpstr>
      <vt:lpstr>'SUELOS GRANULARES'!Área_de_impresión</vt:lpstr>
    </vt:vector>
  </TitlesOfParts>
  <Company>Cemosa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</dc:creator>
  <cp:lastModifiedBy>Germán López Pineda</cp:lastModifiedBy>
  <cp:lastPrinted>2008-08-06T07:11:55Z</cp:lastPrinted>
  <dcterms:created xsi:type="dcterms:W3CDTF">2005-10-11T07:12:18Z</dcterms:created>
  <dcterms:modified xsi:type="dcterms:W3CDTF">2026-02-22T15:54:16Z</dcterms:modified>
</cp:coreProperties>
</file>