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073ac0e7dc4716/Documentos/"/>
    </mc:Choice>
  </mc:AlternateContent>
  <xr:revisionPtr revIDLastSave="1" documentId="8_{E5393ED1-019F-4B41-A158-C99DE084E09B}" xr6:coauthVersionLast="47" xr6:coauthVersionMax="47" xr10:uidLastSave="{BB059779-F0A2-4675-B4CC-A6829BD1E606}"/>
  <bookViews>
    <workbookView xWindow="-120" yWindow="-120" windowWidth="20730" windowHeight="11160" tabRatio="694" xr2:uid="{1C796E97-0D6E-4DCC-BC41-3C4C864BBF2A}"/>
  </bookViews>
  <sheets>
    <sheet name="ROCA" sheetId="1" r:id="rId1"/>
  </sheets>
  <definedNames>
    <definedName name="_xlnm.Print_Area" localSheetId="0">ROCA!$A$1:$K$84</definedName>
    <definedName name="_xlnm.Criteria">#REF!</definedName>
    <definedName name="Tiempo__s">#REF!</definedName>
    <definedName name="Z_12114348_3A8D_4935_A6F6_768010CCAE46_.wvu.PrintArea" localSheetId="0" hidden="1">ROCA!$A$1:$K$84</definedName>
    <definedName name="Z_20C30929_F252_406C_8D94_44905722B9D9_.wvu.PrintArea" localSheetId="0" hidden="1">ROCA!$A$1:$K$84</definedName>
    <definedName name="Z_2F909812_D728_4B8D_9839_2364091D9253_.wvu.PrintArea" localSheetId="0" hidden="1">ROCA!$A$1:$K$84</definedName>
    <definedName name="Z_543E864F_509F_4920_81D1_F8BE4AA5D61C_.wvu.PrintArea" localSheetId="0" hidden="1">ROCA!$A$1:$K$84</definedName>
    <definedName name="Z_5A0DBCB3_B2E7_4F2F_A73A_3B24630E7D1A_.wvu.PrintArea" localSheetId="0" hidden="1">ROCA!$A$1:$K$84</definedName>
    <definedName name="Z_65522948_B87D_4DE1_A919_A9DBF05A422E_.wvu.PrintArea" localSheetId="0" hidden="1">ROCA!$A$1:$K$84</definedName>
    <definedName name="Z_6D1BF510_2AF1_43B4_AE7F_259F79E565AC_.wvu.PrintArea" localSheetId="0" hidden="1">ROCA!$A$1:$K$84</definedName>
    <definedName name="Z_7FD2F097_FB49_43FA_AD37_E78F103B659E_.wvu.PrintArea" localSheetId="0" hidden="1">ROCA!$A$1:$K$84</definedName>
    <definedName name="Z_8127D4AB_9453_4548_91B7_C6CE80D2789C_.wvu.PrintArea" localSheetId="0" hidden="1">ROCA!$A$1:$K$84</definedName>
  </definedNames>
  <calcPr calcId="191029"/>
  <customWorkbookViews>
    <customWorkbookView name="Irene Villegas Barranco - Vista personalizada" guid="{5A0DBCB3-B2E7-4F2F-A73A-3B24630E7D1A}" mergeInterval="0" personalView="1" maximized="1" windowWidth="1280" windowHeight="838" tabRatio="694" activeSheetId="2"/>
    <customWorkbookView name="Full Name - Vista personalizada" guid="{2F909812-D728-4B8D-9839-2364091D9253}" mergeInterval="0" personalView="1" maximized="1" windowWidth="1148" windowHeight="635" tabRatio="694" activeSheetId="2"/>
    <customWorkbookView name="jrm3264 - Vista personalizada" guid="{543E864F-509F-4920-81D1-F8BE4AA5D61C}" mergeInterval="0" personalView="1" maximized="1" windowWidth="1020" windowHeight="570" tabRatio="694" activeSheetId="2"/>
    <customWorkbookView name="JFL0733 - Vista personalizada" guid="{6D1BF510-2AF1-43B4-AE7F-259F79E565AC}" mergeInterval="0" personalView="1" maximized="1" windowWidth="1020" windowHeight="539" tabRatio="694" activeSheetId="2"/>
    <customWorkbookView name="ETR2837 - Vista personalizada" guid="{8127D4AB-9453-4548-91B7-C6CE80D2789C}" mergeInterval="0" personalView="1" maximized="1" windowWidth="1148" windowHeight="718" tabRatio="694" activeSheetId="1"/>
    <customWorkbookView name="LML3050 - Vista personalizada" guid="{20C30929-F252-406C-8D94-44905722B9D9}" mergeInterval="0" personalView="1" maximized="1" windowWidth="1020" windowHeight="596" tabRatio="694" activeSheetId="2"/>
    <customWorkbookView name="MSM2027 - Vista personalizada" guid="{12114348-3A8D-4935-A6F6-768010CCAE46}" mergeInterval="0" personalView="1" maximized="1" windowWidth="852" windowHeight="459" tabRatio="694" activeSheetId="2"/>
    <customWorkbookView name="JPR2269 - Vista personalizada" guid="{7FD2F097-FB49-43FA-AD37-E78F103B659E}" mergeInterval="0" personalView="1" maximized="1" windowWidth="1020" windowHeight="527" tabRatio="694" activeSheetId="3"/>
    <customWorkbookView name="German Lopez Pineda - Vista personalizada" guid="{65522948-B87D-4DE1-A919-A9DBF05A422E}" mergeInterval="0" personalView="1" maximized="1" xWindow="-8" yWindow="-8" windowWidth="1382" windowHeight="744" tabRatio="694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1" l="1"/>
  <c r="J64" i="1"/>
  <c r="J65" i="1"/>
  <c r="J66" i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</calcChain>
</file>

<file path=xl/sharedStrings.xml><?xml version="1.0" encoding="utf-8"?>
<sst xmlns="http://schemas.openxmlformats.org/spreadsheetml/2006/main" count="80" uniqueCount="70">
  <si>
    <t>MPa</t>
  </si>
  <si>
    <t>Expediente</t>
  </si>
  <si>
    <t>m</t>
  </si>
  <si>
    <t>Tipo de roca</t>
  </si>
  <si>
    <t>DIN 1054</t>
  </si>
  <si>
    <t>Rocas ígneas (granitos y gneises), sanas</t>
  </si>
  <si>
    <t>Calizas y areniscas duras</t>
  </si>
  <si>
    <t>Esquistos y pizarras</t>
  </si>
  <si>
    <t>Argilitas y limolitas duras, areniscas blandas</t>
  </si>
  <si>
    <t>Arenas cementadas</t>
  </si>
  <si>
    <t>Argilitas y limolitas blandas</t>
  </si>
  <si>
    <t>Calizas blandas y porosas</t>
  </si>
  <si>
    <t>CIMENTACIONES SUPERFICIALES EN ROCA</t>
  </si>
  <si>
    <t>NORMAS Y CÓDIGOS DE USO HABITUAL</t>
  </si>
  <si>
    <t>Estado del macizo</t>
  </si>
  <si>
    <t>Roca sana o poco alterada</t>
  </si>
  <si>
    <t>Roca quebradiza o con huellas de alteración</t>
  </si>
  <si>
    <t>Homogéneo</t>
  </si>
  <si>
    <t>Estratificado o diaclasado</t>
  </si>
  <si>
    <t>- En caso de edificaciones sencillas con cargas de trabajo no muy elevadas</t>
  </si>
  <si>
    <t>CP 2004/1972</t>
  </si>
  <si>
    <r>
      <t>q</t>
    </r>
    <r>
      <rPr>
        <vertAlign val="subscript"/>
        <sz val="10"/>
        <rFont val="Arial"/>
        <family val="2"/>
      </rPr>
      <t>adm</t>
    </r>
  </si>
  <si>
    <t>0,6-1,0</t>
  </si>
  <si>
    <r>
      <t>- Para rocas sanas o poco meteorizadas (q</t>
    </r>
    <r>
      <rPr>
        <vertAlign val="subscript"/>
        <sz val="10"/>
        <rFont val="Arial"/>
        <family val="2"/>
      </rPr>
      <t>u</t>
    </r>
    <r>
      <rPr>
        <sz val="10"/>
        <rFont val="Arial"/>
        <family val="2"/>
      </rPr>
      <t>&gt;2,5MPa, RQD&gt;25 y GM&lt;IV)</t>
    </r>
  </si>
  <si>
    <t>CTE 2006</t>
  </si>
  <si>
    <t>Rocas diaclasadas de cualquier tipo con espaciamiento de discontinuidades superior a 0,30m, excepto rocas arcillosas</t>
  </si>
  <si>
    <t>Calizas, areniscas y rocas pizarrosas con pequeño espaciamiento de los planos de estratificación</t>
  </si>
  <si>
    <t>Rocas muy diaclasadas o meteorizadas</t>
  </si>
  <si>
    <t>1,0-4,0</t>
  </si>
  <si>
    <t>0,5-1,0</t>
  </si>
  <si>
    <t>(ver 3)</t>
  </si>
  <si>
    <r>
      <t>(1)</t>
    </r>
    <r>
      <rPr>
        <sz val="8"/>
        <rFont val="Arial"/>
        <family val="2"/>
      </rPr>
      <t xml:space="preserve"> Los valores indicados serán aplicables para estratificación y/o foliación subhorizontal. Los macizos rocosos con discontinuidades inclinadas, especialmente en las cercanías de taludes, deben ser objeto de análisis especial</t>
    </r>
  </si>
  <si>
    <r>
      <t>(2)</t>
    </r>
    <r>
      <rPr>
        <sz val="8"/>
        <rFont val="Arial"/>
        <family val="2"/>
      </rPr>
      <t xml:space="preserve"> Se admiten pequeñas discontinuidade con espaciamiento superior a 1m</t>
    </r>
  </si>
  <si>
    <t>Observaciones: Para rocas estables en agua</t>
  </si>
  <si>
    <r>
      <t xml:space="preserve">(3) </t>
    </r>
    <r>
      <rPr>
        <sz val="8"/>
        <rFont val="Arial"/>
        <family val="2"/>
      </rPr>
      <t>Estos casos deben ser investigados "in situ"</t>
    </r>
  </si>
  <si>
    <t>CÁLCULO ANALÍTICO SIMPLIFICADO</t>
  </si>
  <si>
    <t>PARÁMETROS DE CÁLCULO</t>
  </si>
  <si>
    <t>Espaciamiento de las discontinuidades</t>
  </si>
  <si>
    <t>s</t>
  </si>
  <si>
    <t>Apertura de las discontinuidades</t>
  </si>
  <si>
    <t>a</t>
  </si>
  <si>
    <t>mm</t>
  </si>
  <si>
    <r>
      <t>q</t>
    </r>
    <r>
      <rPr>
        <vertAlign val="subscript"/>
        <sz val="10"/>
        <rFont val="Arial"/>
        <family val="2"/>
      </rPr>
      <t>u</t>
    </r>
  </si>
  <si>
    <t>COMPROBACIONES</t>
  </si>
  <si>
    <t>s&gt;300mm</t>
  </si>
  <si>
    <t>a&lt;5mm en junta limpia</t>
  </si>
  <si>
    <t>a&lt;25mm en junta rellena con suelo o fragmentos de roca alterada</t>
  </si>
  <si>
    <t>Estado de juntas</t>
  </si>
  <si>
    <t>0&lt;a/s&lt;0,02</t>
  </si>
  <si>
    <t>CUMPLE</t>
  </si>
  <si>
    <t>Limpias</t>
  </si>
  <si>
    <t>- La superficie de la roca debe ser esencialmente horizontal y sin problemas de estabilidad lateral</t>
  </si>
  <si>
    <t>- La carga no tiene componente tangencial, o ésta es inferior al 10% de la carga normal</t>
  </si>
  <si>
    <t>ESTADO DE LAS JUNTAS</t>
  </si>
  <si>
    <t>Rellenas con suelo o con fragmentos de roca alterada</t>
  </si>
  <si>
    <t>Ancho de cimentación (B)</t>
  </si>
  <si>
    <r>
      <t>- Para roca sana o poco meteorizada (q</t>
    </r>
    <r>
      <rPr>
        <vertAlign val="subscript"/>
        <sz val="10"/>
        <rFont val="Arial"/>
        <family val="2"/>
      </rPr>
      <t>u</t>
    </r>
    <r>
      <rPr>
        <sz val="10"/>
        <rFont val="Arial"/>
        <family val="2"/>
      </rPr>
      <t>&gt;2,5MPa, RQD&gt;25 y GM&lt;IV)</t>
    </r>
  </si>
  <si>
    <t>- En rocas sedimentarias los estratos deben ser horizontales o subhorizontales</t>
  </si>
  <si>
    <t>- Son presiones admisibles frente al hundimiento y asientos</t>
  </si>
  <si>
    <t>CÁLCULO DE LA PRESIÓN VERTICAL ADMISIBLE</t>
  </si>
  <si>
    <r>
      <t>Rocas ígneas y metamófircas sanas</t>
    </r>
    <r>
      <rPr>
        <vertAlign val="superscript"/>
        <sz val="8"/>
        <rFont val="Arial"/>
        <family val="2"/>
      </rPr>
      <t xml:space="preserve"> (1)</t>
    </r>
    <r>
      <rPr>
        <sz val="8"/>
        <rFont val="Arial"/>
        <family val="2"/>
      </rPr>
      <t>:
Granito, diorita, basalto, gneis</t>
    </r>
  </si>
  <si>
    <r>
      <t>Rocas metamórficas foliadas sanas</t>
    </r>
    <r>
      <rPr>
        <vertAlign val="superscript"/>
        <sz val="8"/>
        <rFont val="Arial"/>
        <family val="2"/>
      </rPr>
      <t xml:space="preserve"> (1) (2)</t>
    </r>
    <r>
      <rPr>
        <sz val="8"/>
        <rFont val="Arial"/>
        <family val="2"/>
      </rPr>
      <t>:
Esquistos, pizarras</t>
    </r>
  </si>
  <si>
    <r>
      <t>Rocas sedimentarias sanas</t>
    </r>
    <r>
      <rPr>
        <vertAlign val="superscript"/>
        <sz val="8"/>
        <rFont val="Arial"/>
        <family val="2"/>
      </rPr>
      <t>(1) (2)</t>
    </r>
    <r>
      <rPr>
        <sz val="8"/>
        <rFont val="Arial"/>
        <family val="2"/>
      </rPr>
      <t>:
Pizarras cementadas, limolitas, areniscas, calizas sin karstificar, conglomerados cementados</t>
    </r>
  </si>
  <si>
    <r>
      <t>Rocas arcillosas sanas</t>
    </r>
    <r>
      <rPr>
        <vertAlign val="superscript"/>
        <sz val="8"/>
        <rFont val="Arial"/>
        <family val="2"/>
      </rPr>
      <t>(2) (4)</t>
    </r>
  </si>
  <si>
    <t>Resistencia a compresión simple roca sana</t>
  </si>
  <si>
    <t>Cumple 0,05&lt;s/B&lt;2</t>
  </si>
  <si>
    <r>
      <t>K</t>
    </r>
    <r>
      <rPr>
        <b/>
        <vertAlign val="subscript"/>
        <sz val="10"/>
        <rFont val="Arial"/>
        <family val="2"/>
      </rPr>
      <t>sp</t>
    </r>
  </si>
  <si>
    <r>
      <t>q</t>
    </r>
    <r>
      <rPr>
        <b/>
        <vertAlign val="subscript"/>
        <sz val="10"/>
        <rFont val="Arial"/>
        <family val="2"/>
      </rPr>
      <t>d</t>
    </r>
  </si>
  <si>
    <t>Peticionario</t>
  </si>
  <si>
    <t>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</si>
</sst>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5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Continuous"/>
    </xf>
    <xf numFmtId="0" fontId="0" fillId="0" borderId="7" xfId="0" applyBorder="1"/>
    <xf numFmtId="0" fontId="0" fillId="0" borderId="8" xfId="0" applyBorder="1"/>
    <xf numFmtId="0" fontId="5" fillId="0" borderId="0" xfId="0" applyFont="1"/>
    <xf numFmtId="0" fontId="5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5" fillId="0" borderId="1" xfId="0" applyFont="1" applyBorder="1" applyAlignment="1">
      <alignment horizontal="centerContinuous"/>
    </xf>
    <xf numFmtId="0" fontId="5" fillId="2" borderId="9" xfId="0" applyFont="1" applyFill="1" applyBorder="1" applyAlignment="1">
      <alignment horizontal="centerContinuous"/>
    </xf>
    <xf numFmtId="0" fontId="5" fillId="2" borderId="10" xfId="0" applyFont="1" applyFill="1" applyBorder="1" applyAlignment="1">
      <alignment horizontal="centerContinuous"/>
    </xf>
    <xf numFmtId="0" fontId="5" fillId="2" borderId="11" xfId="0" applyFont="1" applyFill="1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12" xfId="0" applyBorder="1" applyAlignment="1">
      <alignment horizontal="center"/>
    </xf>
    <xf numFmtId="0" fontId="9" fillId="0" borderId="4" xfId="0" applyFont="1" applyBorder="1" applyAlignment="1">
      <alignment horizontal="centerContinuous"/>
    </xf>
    <xf numFmtId="164" fontId="0" fillId="0" borderId="13" xfId="0" applyNumberFormat="1" applyBorder="1" applyAlignment="1">
      <alignment horizontal="center" wrapText="1"/>
    </xf>
    <xf numFmtId="164" fontId="0" fillId="0" borderId="14" xfId="0" applyNumberFormat="1" applyBorder="1" applyAlignment="1">
      <alignment horizontal="center" wrapText="1"/>
    </xf>
    <xf numFmtId="0" fontId="0" fillId="3" borderId="15" xfId="0" applyFill="1" applyBorder="1" applyAlignment="1">
      <alignment horizontal="centerContinuous"/>
    </xf>
    <xf numFmtId="0" fontId="0" fillId="3" borderId="16" xfId="0" applyFill="1" applyBorder="1" applyAlignment="1">
      <alignment horizontal="centerContinuous"/>
    </xf>
    <xf numFmtId="0" fontId="5" fillId="3" borderId="17" xfId="0" applyFont="1" applyFill="1" applyBorder="1" applyAlignment="1">
      <alignment horizontal="centerContinuous"/>
    </xf>
    <xf numFmtId="0" fontId="0" fillId="0" borderId="0" xfId="0" quotePrefix="1"/>
    <xf numFmtId="0" fontId="0" fillId="0" borderId="18" xfId="0" applyBorder="1"/>
    <xf numFmtId="0" fontId="0" fillId="0" borderId="19" xfId="0" applyBorder="1"/>
    <xf numFmtId="0" fontId="5" fillId="3" borderId="9" xfId="0" applyFont="1" applyFill="1" applyBorder="1" applyAlignment="1">
      <alignment horizontal="centerContinuous"/>
    </xf>
    <xf numFmtId="0" fontId="0" fillId="0" borderId="10" xfId="0" applyBorder="1"/>
    <xf numFmtId="0" fontId="0" fillId="3" borderId="11" xfId="0" applyFill="1" applyBorder="1" applyAlignment="1">
      <alignment horizontal="centerContinuous"/>
    </xf>
    <xf numFmtId="0" fontId="0" fillId="3" borderId="10" xfId="0" applyFill="1" applyBorder="1" applyAlignment="1">
      <alignment horizontal="centerContinuous"/>
    </xf>
    <xf numFmtId="164" fontId="0" fillId="0" borderId="0" xfId="0" applyNumberFormat="1" applyAlignment="1">
      <alignment wrapText="1"/>
    </xf>
    <xf numFmtId="164" fontId="0" fillId="0" borderId="0" xfId="0" applyNumberFormat="1" applyAlignment="1">
      <alignment horizontal="center" wrapText="1"/>
    </xf>
    <xf numFmtId="0" fontId="5" fillId="2" borderId="0" xfId="0" applyFont="1" applyFill="1"/>
    <xf numFmtId="0" fontId="0" fillId="2" borderId="0" xfId="0" applyFill="1"/>
    <xf numFmtId="0" fontId="11" fillId="4" borderId="20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2" fillId="0" borderId="18" xfId="0" applyFont="1" applyBorder="1"/>
    <xf numFmtId="0" fontId="12" fillId="0" borderId="22" xfId="0" applyFont="1" applyBorder="1"/>
    <xf numFmtId="164" fontId="12" fillId="0" borderId="23" xfId="0" applyNumberFormat="1" applyFont="1" applyBorder="1" applyAlignment="1">
      <alignment horizontal="center" vertical="center" wrapText="1"/>
    </xf>
    <xf numFmtId="164" fontId="12" fillId="0" borderId="13" xfId="0" applyNumberFormat="1" applyFont="1" applyBorder="1" applyAlignment="1">
      <alignment horizontal="center" vertical="center" wrapText="1"/>
    </xf>
    <xf numFmtId="0" fontId="12" fillId="0" borderId="19" xfId="0" applyFont="1" applyBorder="1"/>
    <xf numFmtId="0" fontId="12" fillId="0" borderId="24" xfId="0" applyFont="1" applyBorder="1"/>
    <xf numFmtId="164" fontId="12" fillId="0" borderId="25" xfId="0" applyNumberFormat="1" applyFont="1" applyBorder="1" applyAlignment="1">
      <alignment horizontal="center" vertical="center" wrapText="1"/>
    </xf>
    <xf numFmtId="164" fontId="12" fillId="0" borderId="14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26" xfId="0" applyBorder="1"/>
    <xf numFmtId="0" fontId="0" fillId="0" borderId="27" xfId="0" applyBorder="1"/>
    <xf numFmtId="0" fontId="0" fillId="4" borderId="28" xfId="0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164" fontId="0" fillId="0" borderId="23" xfId="0" applyNumberFormat="1" applyBorder="1" applyAlignment="1">
      <alignment horizontal="centerContinuous" vertical="center" wrapText="1"/>
    </xf>
    <xf numFmtId="0" fontId="0" fillId="0" borderId="29" xfId="0" applyBorder="1" applyAlignment="1">
      <alignment horizontal="centerContinuous"/>
    </xf>
    <xf numFmtId="0" fontId="0" fillId="4" borderId="30" xfId="0" applyFill="1" applyBorder="1" applyAlignment="1">
      <alignment horizontal="centerContinuous" vertical="center" wrapText="1"/>
    </xf>
    <xf numFmtId="0" fontId="0" fillId="4" borderId="3" xfId="0" applyFill="1" applyBorder="1" applyAlignment="1">
      <alignment horizontal="centerContinuous"/>
    </xf>
    <xf numFmtId="0" fontId="0" fillId="4" borderId="31" xfId="0" applyFill="1" applyBorder="1" applyAlignment="1">
      <alignment horizontal="centerContinuous"/>
    </xf>
    <xf numFmtId="164" fontId="0" fillId="0" borderId="25" xfId="0" applyNumberFormat="1" applyBorder="1" applyAlignment="1">
      <alignment horizontal="centerContinuous" vertical="center" wrapText="1"/>
    </xf>
    <xf numFmtId="0" fontId="0" fillId="0" borderId="32" xfId="0" applyBorder="1" applyAlignment="1">
      <alignment horizontal="centerContinuous"/>
    </xf>
    <xf numFmtId="0" fontId="5" fillId="4" borderId="33" xfId="0" applyFont="1" applyFill="1" applyBorder="1" applyAlignment="1">
      <alignment horizontal="centerContinuous"/>
    </xf>
    <xf numFmtId="0" fontId="5" fillId="4" borderId="34" xfId="0" applyFont="1" applyFill="1" applyBorder="1" applyAlignment="1">
      <alignment horizontal="centerContinuous"/>
    </xf>
    <xf numFmtId="0" fontId="5" fillId="4" borderId="35" xfId="0" applyFont="1" applyFill="1" applyBorder="1" applyAlignment="1">
      <alignment horizontal="centerContinuous"/>
    </xf>
    <xf numFmtId="0" fontId="3" fillId="3" borderId="18" xfId="0" applyFont="1" applyFill="1" applyBorder="1"/>
    <xf numFmtId="0" fontId="3" fillId="3" borderId="26" xfId="0" applyFont="1" applyFill="1" applyBorder="1"/>
    <xf numFmtId="0" fontId="3" fillId="3" borderId="29" xfId="0" applyFont="1" applyFill="1" applyBorder="1"/>
    <xf numFmtId="0" fontId="2" fillId="0" borderId="19" xfId="0" applyFont="1" applyBorder="1"/>
    <xf numFmtId="165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165" fontId="0" fillId="0" borderId="38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5" fillId="4" borderId="39" xfId="0" applyFont="1" applyFill="1" applyBorder="1" applyAlignment="1">
      <alignment horizontal="centerContinuous"/>
    </xf>
    <xf numFmtId="0" fontId="8" fillId="4" borderId="20" xfId="0" applyFont="1" applyFill="1" applyBorder="1" applyAlignment="1">
      <alignment horizontal="centerContinuous" vertical="center" wrapText="1"/>
    </xf>
    <xf numFmtId="0" fontId="2" fillId="0" borderId="18" xfId="0" applyFont="1" applyBorder="1"/>
    <xf numFmtId="0" fontId="5" fillId="4" borderId="40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0" borderId="29" xfId="0" applyFont="1" applyBorder="1"/>
    <xf numFmtId="0" fontId="16" fillId="0" borderId="29" xfId="0" applyFont="1" applyBorder="1"/>
    <xf numFmtId="0" fontId="17" fillId="4" borderId="1" xfId="0" applyFont="1" applyFill="1" applyBorder="1" applyAlignment="1">
      <alignment horizontal="centerContinuous"/>
    </xf>
    <xf numFmtId="0" fontId="0" fillId="0" borderId="42" xfId="0" applyBorder="1" applyAlignment="1">
      <alignment horizontal="center"/>
    </xf>
    <xf numFmtId="165" fontId="0" fillId="0" borderId="42" xfId="0" applyNumberFormat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0" fontId="14" fillId="4" borderId="44" xfId="0" applyFont="1" applyFill="1" applyBorder="1"/>
    <xf numFmtId="0" fontId="5" fillId="4" borderId="2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3" fillId="0" borderId="0" xfId="0" applyFont="1"/>
    <xf numFmtId="164" fontId="0" fillId="0" borderId="7" xfId="0" applyNumberFormat="1" applyBorder="1" applyAlignment="1">
      <alignment wrapText="1"/>
    </xf>
    <xf numFmtId="0" fontId="15" fillId="3" borderId="26" xfId="0" applyFont="1" applyFill="1" applyBorder="1"/>
    <xf numFmtId="0" fontId="15" fillId="3" borderId="29" xfId="0" applyFont="1" applyFill="1" applyBorder="1"/>
    <xf numFmtId="0" fontId="18" fillId="0" borderId="0" xfId="0" applyFont="1" applyProtection="1">
      <protection locked="0"/>
    </xf>
    <xf numFmtId="0" fontId="1" fillId="5" borderId="26" xfId="0" applyFont="1" applyFill="1" applyBorder="1" applyProtection="1">
      <protection locked="0"/>
    </xf>
    <xf numFmtId="0" fontId="16" fillId="5" borderId="26" xfId="0" applyFont="1" applyFill="1" applyBorder="1" applyProtection="1">
      <protection locked="0"/>
    </xf>
    <xf numFmtId="164" fontId="0" fillId="5" borderId="41" xfId="0" applyNumberFormat="1" applyFill="1" applyBorder="1" applyAlignment="1" applyProtection="1">
      <alignment horizontal="center"/>
      <protection locked="0"/>
    </xf>
    <xf numFmtId="164" fontId="0" fillId="5" borderId="36" xfId="0" applyNumberFormat="1" applyFill="1" applyBorder="1" applyAlignment="1" applyProtection="1">
      <alignment horizontal="center"/>
      <protection locked="0"/>
    </xf>
    <xf numFmtId="164" fontId="0" fillId="5" borderId="37" xfId="0" applyNumberFormat="1" applyFill="1" applyBorder="1" applyAlignment="1" applyProtection="1">
      <alignment horizontal="center"/>
      <protection locked="0"/>
    </xf>
    <xf numFmtId="0" fontId="2" fillId="4" borderId="30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43" xfId="0" applyFont="1" applyFill="1" applyBorder="1" applyAlignment="1">
      <alignment horizontal="center" vertical="center" wrapText="1"/>
    </xf>
    <xf numFmtId="0" fontId="1" fillId="4" borderId="46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 applyProtection="1">
      <alignment horizontal="left"/>
      <protection locked="0"/>
    </xf>
    <xf numFmtId="0" fontId="2" fillId="5" borderId="27" xfId="0" applyFont="1" applyFill="1" applyBorder="1" applyAlignment="1" applyProtection="1">
      <alignment horizontal="left"/>
      <protection locked="0"/>
    </xf>
    <xf numFmtId="0" fontId="2" fillId="5" borderId="32" xfId="0" applyFont="1" applyFill="1" applyBorder="1" applyAlignment="1" applyProtection="1">
      <alignment horizontal="left"/>
      <protection locked="0"/>
    </xf>
    <xf numFmtId="0" fontId="5" fillId="4" borderId="47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2" fillId="0" borderId="36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0" fillId="4" borderId="33" xfId="0" applyFill="1" applyBorder="1" applyAlignment="1">
      <alignment horizontal="center" vertical="center" wrapText="1"/>
    </xf>
    <xf numFmtId="0" fontId="0" fillId="4" borderId="34" xfId="0" applyFill="1" applyBorder="1" applyAlignment="1">
      <alignment horizontal="center" vertical="center" wrapText="1"/>
    </xf>
    <xf numFmtId="0" fontId="0" fillId="4" borderId="49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indexed="10"/>
        </patternFill>
      </fill>
    </dxf>
    <dxf>
      <fill>
        <patternFill>
          <bgColor rgb="FFCCFF6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915-4285-AA27-AAAB97666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57615"/>
        <c:axId val="1"/>
      </c:scatterChart>
      <c:valAx>
        <c:axId val="39157615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3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Finos (Pasa #0.08)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max"/>
        <c:crossBetween val="midCat"/>
        <c:majorUnit val="10"/>
      </c:valAx>
      <c:valAx>
        <c:axId val="1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3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Profundidad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915761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Presión admisible de servicio</a:t>
            </a:r>
          </a:p>
        </c:rich>
      </c:tx>
      <c:layout>
        <c:manualLayout>
          <c:xMode val="edge"/>
          <c:yMode val="edge"/>
          <c:x val="0.28967280853117539"/>
          <c:y val="4.0816326530612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05810800007379"/>
          <c:y val="0.13877551020408163"/>
          <c:w val="0.80100854185756187"/>
          <c:h val="0.665306122448979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ROCA!$B$75:$B$79</c:f>
              <c:numCache>
                <c:formatCode>0.0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ROCA!$E$75:$E$79</c:f>
              <c:numCache>
                <c:formatCode>0.00</c:formatCode>
                <c:ptCount val="5"/>
                <c:pt idx="0">
                  <c:v>3.1383145447545857</c:v>
                </c:pt>
                <c:pt idx="1">
                  <c:v>3.0729329917388646</c:v>
                </c:pt>
                <c:pt idx="2">
                  <c:v>3.0402422152310047</c:v>
                </c:pt>
                <c:pt idx="3">
                  <c:v>3.0206277493262887</c:v>
                </c:pt>
                <c:pt idx="4">
                  <c:v>3.0075514387231443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C4-4AA6-8702-633B512FD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59535"/>
        <c:axId val="1"/>
      </c:scatterChart>
      <c:valAx>
        <c:axId val="39159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Ancho de cimentación (m)</a:t>
                </a:r>
              </a:p>
            </c:rich>
          </c:tx>
          <c:layout>
            <c:manualLayout>
              <c:xMode val="edge"/>
              <c:yMode val="edge"/>
              <c:x val="0.35516425686083947"/>
              <c:y val="0.8979591836734693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q</a:t>
                </a:r>
                <a:r>
                  <a:rPr lang="es-ES" sz="8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d </a:t>
                </a:r>
                <a:r>
                  <a:rPr lang="es-E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1.2594458438287154E-2"/>
              <c:y val="0.3714285714285714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9159535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504825</xdr:colOff>
      <xdr:row>0</xdr:row>
      <xdr:rowOff>142875</xdr:rowOff>
    </xdr:from>
    <xdr:to>
      <xdr:col>10</xdr:col>
      <xdr:colOff>361950</xdr:colOff>
      <xdr:row>2</xdr:row>
      <xdr:rowOff>85725</xdr:rowOff>
    </xdr:to>
    <xdr:pic>
      <xdr:nvPicPr>
        <xdr:cNvPr id="35916" name="Picture 7" descr="image008">
          <a:extLst>
            <a:ext uri="{FF2B5EF4-FFF2-40B4-BE49-F238E27FC236}">
              <a16:creationId xmlns:a16="http://schemas.microsoft.com/office/drawing/2014/main" id="{00000000-0008-0000-0000-00004C8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142875"/>
          <a:ext cx="1609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44</xdr:row>
      <xdr:rowOff>0</xdr:rowOff>
    </xdr:from>
    <xdr:to>
      <xdr:col>5</xdr:col>
      <xdr:colOff>561975</xdr:colOff>
      <xdr:row>44</xdr:row>
      <xdr:rowOff>0</xdr:rowOff>
    </xdr:to>
    <xdr:graphicFrame macro="">
      <xdr:nvGraphicFramePr>
        <xdr:cNvPr id="35917" name="Chart 9">
          <a:extLst>
            <a:ext uri="{FF2B5EF4-FFF2-40B4-BE49-F238E27FC236}">
              <a16:creationId xmlns:a16="http://schemas.microsoft.com/office/drawing/2014/main" id="{00000000-0008-0000-0000-00004D8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561975</xdr:colOff>
      <xdr:row>67</xdr:row>
      <xdr:rowOff>104775</xdr:rowOff>
    </xdr:from>
    <xdr:to>
      <xdr:col>9</xdr:col>
      <xdr:colOff>838200</xdr:colOff>
      <xdr:row>81</xdr:row>
      <xdr:rowOff>123825</xdr:rowOff>
    </xdr:to>
    <xdr:graphicFrame macro="">
      <xdr:nvGraphicFramePr>
        <xdr:cNvPr id="35918" name="Chart 15">
          <a:extLst>
            <a:ext uri="{FF2B5EF4-FFF2-40B4-BE49-F238E27FC236}">
              <a16:creationId xmlns:a16="http://schemas.microsoft.com/office/drawing/2014/main" id="{00000000-0008-0000-0000-00004E8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51</xdr:row>
          <xdr:rowOff>123825</xdr:rowOff>
        </xdr:from>
        <xdr:to>
          <xdr:col>5</xdr:col>
          <xdr:colOff>657225</xdr:colOff>
          <xdr:row>53</xdr:row>
          <xdr:rowOff>38100</xdr:rowOff>
        </xdr:to>
        <xdr:sp macro="" textlink="">
          <xdr:nvSpPr>
            <xdr:cNvPr id="35852" name="Object 12" hidden="1">
              <a:extLst>
                <a:ext uri="{63B3BB69-23CF-44E3-9099-C40C66FF867C}">
                  <a14:compatExt spid="_x0000_s35852"/>
                </a:ext>
                <a:ext uri="{FF2B5EF4-FFF2-40B4-BE49-F238E27FC236}">
                  <a16:creationId xmlns:a16="http://schemas.microsoft.com/office/drawing/2014/main" id="{00000000-0008-0000-0000-00000C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54</xdr:row>
          <xdr:rowOff>9525</xdr:rowOff>
        </xdr:from>
        <xdr:to>
          <xdr:col>6</xdr:col>
          <xdr:colOff>85725</xdr:colOff>
          <xdr:row>59</xdr:row>
          <xdr:rowOff>28575</xdr:rowOff>
        </xdr:to>
        <xdr:sp macro="" textlink="">
          <xdr:nvSpPr>
            <xdr:cNvPr id="35853" name="Object 13" hidden="1">
              <a:extLst>
                <a:ext uri="{63B3BB69-23CF-44E3-9099-C40C66FF867C}">
                  <a14:compatExt spid="_x0000_s35853"/>
                </a:ext>
                <a:ext uri="{FF2B5EF4-FFF2-40B4-BE49-F238E27FC236}">
                  <a16:creationId xmlns:a16="http://schemas.microsoft.com/office/drawing/2014/main" id="{00000000-0008-0000-0000-00000D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oleObject" Target="../embeddings/oleObject1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6" Type="http://schemas.openxmlformats.org/officeDocument/2006/relationships/image" Target="../media/image2.emf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15" Type="http://schemas.openxmlformats.org/officeDocument/2006/relationships/oleObject" Target="../embeddings/oleObject2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AA16-D9AD-4A48-98A8-B2C65703A996}">
  <sheetPr codeName="Hoja1">
    <pageSetUpPr fitToPage="1"/>
  </sheetPr>
  <dimension ref="A1:P84"/>
  <sheetViews>
    <sheetView showGridLines="0" tabSelected="1" view="pageBreakPreview" topLeftCell="A59" zoomScaleNormal="85" workbookViewId="0">
      <selection activeCell="J63" sqref="J63"/>
    </sheetView>
  </sheetViews>
  <sheetFormatPr baseColWidth="10" defaultRowHeight="12.75" x14ac:dyDescent="0.2"/>
  <cols>
    <col min="1" max="11" width="13.140625" customWidth="1"/>
  </cols>
  <sheetData>
    <row r="1" spans="1:16" ht="18.75" customHeight="1" x14ac:dyDescent="0.2">
      <c r="A1" s="1"/>
      <c r="B1" s="2"/>
      <c r="C1" s="2"/>
      <c r="D1" s="2"/>
      <c r="E1" s="2"/>
      <c r="F1" s="2"/>
      <c r="G1" s="2"/>
      <c r="H1" s="3"/>
      <c r="I1" s="1"/>
      <c r="J1" s="2"/>
      <c r="K1" s="3"/>
      <c r="L1" s="2"/>
      <c r="M1" s="2"/>
    </row>
    <row r="2" spans="1:16" ht="18.75" customHeight="1" x14ac:dyDescent="0.25">
      <c r="A2" s="20" t="s">
        <v>12</v>
      </c>
      <c r="B2" s="7"/>
      <c r="C2" s="7"/>
      <c r="D2" s="7"/>
      <c r="E2" s="7"/>
      <c r="F2" s="7"/>
      <c r="G2" s="7"/>
      <c r="H2" s="18"/>
      <c r="I2" s="4"/>
      <c r="K2" s="8"/>
      <c r="P2" t="s">
        <v>53</v>
      </c>
    </row>
    <row r="3" spans="1:16" ht="18.75" customHeight="1" thickBot="1" x14ac:dyDescent="0.25">
      <c r="A3" s="5"/>
      <c r="B3" s="6"/>
      <c r="C3" s="6"/>
      <c r="D3" s="6"/>
      <c r="E3" s="6"/>
      <c r="F3" s="6"/>
      <c r="G3" s="6"/>
      <c r="H3" s="9"/>
      <c r="I3" s="5"/>
      <c r="J3" s="6"/>
      <c r="K3" s="9"/>
      <c r="P3" t="s">
        <v>50</v>
      </c>
    </row>
    <row r="4" spans="1:16" ht="18.75" customHeight="1" thickBo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P4" t="s">
        <v>54</v>
      </c>
    </row>
    <row r="5" spans="1:16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3"/>
    </row>
    <row r="6" spans="1:16" x14ac:dyDescent="0.2">
      <c r="A6" s="4"/>
      <c r="B6" s="10" t="s">
        <v>68</v>
      </c>
      <c r="C6" s="92"/>
      <c r="E6" s="10"/>
      <c r="F6" s="10"/>
      <c r="G6" s="10"/>
      <c r="H6" s="10"/>
      <c r="K6" s="8"/>
    </row>
    <row r="7" spans="1:16" x14ac:dyDescent="0.2">
      <c r="A7" s="4"/>
      <c r="B7" s="10" t="s">
        <v>69</v>
      </c>
      <c r="C7" s="92"/>
      <c r="E7" s="10"/>
      <c r="F7" s="10"/>
      <c r="G7" s="10"/>
      <c r="H7" s="10"/>
      <c r="K7" s="8"/>
    </row>
    <row r="8" spans="1:16" x14ac:dyDescent="0.2">
      <c r="A8" s="4"/>
      <c r="B8" s="10" t="s">
        <v>1</v>
      </c>
      <c r="C8" s="92"/>
      <c r="E8" s="10"/>
      <c r="F8" s="10"/>
      <c r="G8" s="10"/>
      <c r="H8" s="10"/>
      <c r="K8" s="8"/>
    </row>
    <row r="9" spans="1:16" ht="13.5" thickBot="1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9"/>
    </row>
    <row r="10" spans="1:16" ht="13.5" thickBot="1" x14ac:dyDescent="0.25"/>
    <row r="11" spans="1:16" ht="13.5" thickBot="1" x14ac:dyDescent="0.25">
      <c r="A11" s="15" t="s">
        <v>59</v>
      </c>
      <c r="B11" s="16"/>
      <c r="C11" s="16"/>
      <c r="D11" s="16"/>
      <c r="E11" s="16"/>
      <c r="F11" s="16"/>
      <c r="G11" s="16"/>
      <c r="H11" s="16"/>
      <c r="I11" s="16"/>
      <c r="J11" s="16"/>
      <c r="K11" s="17"/>
      <c r="L11" s="35"/>
      <c r="M11" s="36"/>
      <c r="N11" s="36"/>
    </row>
    <row r="12" spans="1:16" ht="13.5" thickBot="1" x14ac:dyDescent="0.25"/>
    <row r="13" spans="1:16" x14ac:dyDescent="0.2">
      <c r="A13" s="14" t="s">
        <v>13</v>
      </c>
      <c r="B13" s="12"/>
      <c r="C13" s="11"/>
      <c r="D13" s="12"/>
      <c r="E13" s="12"/>
      <c r="F13" s="12"/>
      <c r="G13" s="11"/>
      <c r="H13" s="12"/>
      <c r="I13" s="11"/>
      <c r="J13" s="12"/>
      <c r="K13" s="13"/>
    </row>
    <row r="14" spans="1:16" x14ac:dyDescent="0.2">
      <c r="A14" s="4"/>
      <c r="K14" s="8"/>
    </row>
    <row r="15" spans="1:16" x14ac:dyDescent="0.2">
      <c r="A15" s="4"/>
      <c r="D15" s="26" t="s">
        <v>19</v>
      </c>
      <c r="K15" s="8"/>
    </row>
    <row r="16" spans="1:16" ht="15.75" x14ac:dyDescent="0.3">
      <c r="A16" s="4"/>
      <c r="D16" s="26" t="s">
        <v>23</v>
      </c>
      <c r="K16" s="8"/>
    </row>
    <row r="17" spans="1:14" x14ac:dyDescent="0.2">
      <c r="A17" s="4"/>
      <c r="D17" s="26" t="s">
        <v>58</v>
      </c>
      <c r="K17" s="8"/>
    </row>
    <row r="18" spans="1:14" ht="13.5" thickBot="1" x14ac:dyDescent="0.25">
      <c r="A18" s="4"/>
      <c r="E18" s="6"/>
      <c r="K18" s="8"/>
    </row>
    <row r="19" spans="1:14" ht="12.75" customHeight="1" thickBot="1" x14ac:dyDescent="0.25">
      <c r="A19" s="4"/>
      <c r="B19" s="25" t="s">
        <v>4</v>
      </c>
      <c r="C19" s="23"/>
      <c r="D19" s="23"/>
      <c r="E19" s="24"/>
      <c r="G19" s="29" t="s">
        <v>20</v>
      </c>
      <c r="H19" s="32"/>
      <c r="I19" s="32"/>
      <c r="J19" s="31"/>
      <c r="K19" s="8"/>
    </row>
    <row r="20" spans="1:14" ht="17.25" customHeight="1" x14ac:dyDescent="0.2">
      <c r="A20" s="4"/>
      <c r="B20" s="100" t="s">
        <v>14</v>
      </c>
      <c r="C20" s="101"/>
      <c r="D20" s="98" t="s">
        <v>15</v>
      </c>
      <c r="E20" s="123" t="s">
        <v>16</v>
      </c>
      <c r="G20" s="117" t="s">
        <v>3</v>
      </c>
      <c r="H20" s="118"/>
      <c r="I20" s="119"/>
      <c r="J20" s="50" t="s">
        <v>21</v>
      </c>
      <c r="K20" s="8"/>
    </row>
    <row r="21" spans="1:14" x14ac:dyDescent="0.2">
      <c r="A21" s="4"/>
      <c r="B21" s="102"/>
      <c r="C21" s="103"/>
      <c r="D21" s="99"/>
      <c r="E21" s="124"/>
      <c r="G21" s="120"/>
      <c r="H21" s="121"/>
      <c r="I21" s="122"/>
      <c r="J21" s="51" t="s">
        <v>0</v>
      </c>
      <c r="K21" s="8"/>
    </row>
    <row r="22" spans="1:14" x14ac:dyDescent="0.2">
      <c r="A22" s="4"/>
      <c r="B22" s="104"/>
      <c r="C22" s="105"/>
      <c r="D22" s="37" t="s">
        <v>0</v>
      </c>
      <c r="E22" s="38" t="s">
        <v>0</v>
      </c>
      <c r="G22" s="27" t="s">
        <v>5</v>
      </c>
      <c r="H22" s="48"/>
      <c r="I22" s="48"/>
      <c r="J22" s="21">
        <v>10</v>
      </c>
      <c r="K22" s="8"/>
    </row>
    <row r="23" spans="1:14" x14ac:dyDescent="0.2">
      <c r="A23" s="4"/>
      <c r="B23" s="39" t="s">
        <v>17</v>
      </c>
      <c r="C23" s="40"/>
      <c r="D23" s="41">
        <v>4</v>
      </c>
      <c r="E23" s="42">
        <v>1.5</v>
      </c>
      <c r="G23" s="27" t="s">
        <v>6</v>
      </c>
      <c r="H23" s="48"/>
      <c r="I23" s="48"/>
      <c r="J23" s="21">
        <v>4</v>
      </c>
      <c r="K23" s="8"/>
    </row>
    <row r="24" spans="1:14" ht="13.5" thickBot="1" x14ac:dyDescent="0.25">
      <c r="A24" s="4"/>
      <c r="B24" s="43" t="s">
        <v>18</v>
      </c>
      <c r="C24" s="44"/>
      <c r="D24" s="45">
        <v>2</v>
      </c>
      <c r="E24" s="46">
        <v>1</v>
      </c>
      <c r="G24" s="27" t="s">
        <v>7</v>
      </c>
      <c r="H24" s="48"/>
      <c r="I24" s="48"/>
      <c r="J24" s="21">
        <v>3</v>
      </c>
      <c r="K24" s="8"/>
    </row>
    <row r="25" spans="1:14" x14ac:dyDescent="0.2">
      <c r="A25" s="4"/>
      <c r="G25" s="27" t="s">
        <v>8</v>
      </c>
      <c r="H25" s="48"/>
      <c r="I25" s="48"/>
      <c r="J25" s="21">
        <v>2</v>
      </c>
      <c r="K25" s="8"/>
    </row>
    <row r="26" spans="1:14" ht="12.75" customHeight="1" x14ac:dyDescent="0.2">
      <c r="A26" s="4"/>
      <c r="G26" s="27" t="s">
        <v>9</v>
      </c>
      <c r="H26" s="48"/>
      <c r="I26" s="48"/>
      <c r="J26" s="21">
        <v>1</v>
      </c>
      <c r="K26" s="8"/>
    </row>
    <row r="27" spans="1:14" x14ac:dyDescent="0.2">
      <c r="A27" s="4"/>
      <c r="G27" s="27" t="s">
        <v>10</v>
      </c>
      <c r="H27" s="48"/>
      <c r="I27" s="48"/>
      <c r="J27" s="21" t="s">
        <v>22</v>
      </c>
      <c r="K27" s="8"/>
    </row>
    <row r="28" spans="1:14" ht="13.5" thickBot="1" x14ac:dyDescent="0.25">
      <c r="A28" s="4"/>
      <c r="G28" s="28" t="s">
        <v>11</v>
      </c>
      <c r="H28" s="49"/>
      <c r="I28" s="49"/>
      <c r="J28" s="22">
        <v>0.6</v>
      </c>
      <c r="K28" s="89"/>
      <c r="L28" s="33"/>
      <c r="M28" s="34"/>
      <c r="N28" s="34"/>
    </row>
    <row r="29" spans="1:14" x14ac:dyDescent="0.2">
      <c r="A29" s="4"/>
      <c r="G29" s="47" t="s">
        <v>33</v>
      </c>
      <c r="K29" s="8"/>
    </row>
    <row r="30" spans="1:14" ht="13.5" thickBot="1" x14ac:dyDescent="0.25">
      <c r="A30" s="4"/>
      <c r="K30" s="8"/>
    </row>
    <row r="31" spans="1:14" ht="13.5" thickBot="1" x14ac:dyDescent="0.25">
      <c r="A31" s="4"/>
      <c r="D31" s="29" t="s">
        <v>24</v>
      </c>
      <c r="E31" s="32"/>
      <c r="F31" s="32"/>
      <c r="G31" s="32"/>
      <c r="H31" s="31"/>
      <c r="K31" s="8"/>
    </row>
    <row r="32" spans="1:14" ht="14.25" customHeight="1" x14ac:dyDescent="0.2">
      <c r="A32" s="4"/>
      <c r="D32" s="100" t="s">
        <v>3</v>
      </c>
      <c r="E32" s="101"/>
      <c r="F32" s="111"/>
      <c r="G32" s="55" t="s">
        <v>21</v>
      </c>
      <c r="H32" s="56"/>
      <c r="K32" s="8"/>
    </row>
    <row r="33" spans="1:11" x14ac:dyDescent="0.2">
      <c r="A33" s="4"/>
      <c r="D33" s="104"/>
      <c r="E33" s="105"/>
      <c r="F33" s="112"/>
      <c r="G33" s="73" t="s">
        <v>0</v>
      </c>
      <c r="H33" s="57"/>
      <c r="K33" s="8"/>
    </row>
    <row r="34" spans="1:11" ht="27" customHeight="1" x14ac:dyDescent="0.2">
      <c r="A34" s="4"/>
      <c r="D34" s="115" t="s">
        <v>60</v>
      </c>
      <c r="E34" s="116"/>
      <c r="F34" s="116"/>
      <c r="G34" s="53">
        <v>10</v>
      </c>
      <c r="H34" s="54"/>
      <c r="K34" s="8"/>
    </row>
    <row r="35" spans="1:11" ht="26.25" customHeight="1" x14ac:dyDescent="0.2">
      <c r="A35" s="4"/>
      <c r="D35" s="115" t="s">
        <v>61</v>
      </c>
      <c r="E35" s="116"/>
      <c r="F35" s="116"/>
      <c r="G35" s="53">
        <v>3</v>
      </c>
      <c r="H35" s="54"/>
      <c r="K35" s="8"/>
    </row>
    <row r="36" spans="1:11" ht="41.25" customHeight="1" x14ac:dyDescent="0.2">
      <c r="A36" s="4"/>
      <c r="D36" s="115" t="s">
        <v>62</v>
      </c>
      <c r="E36" s="116"/>
      <c r="F36" s="116"/>
      <c r="G36" s="53" t="s">
        <v>28</v>
      </c>
      <c r="H36" s="54"/>
      <c r="K36" s="8"/>
    </row>
    <row r="37" spans="1:11" ht="17.25" customHeight="1" x14ac:dyDescent="0.2">
      <c r="A37" s="4"/>
      <c r="D37" s="115" t="s">
        <v>63</v>
      </c>
      <c r="E37" s="116"/>
      <c r="F37" s="116"/>
      <c r="G37" s="53" t="s">
        <v>29</v>
      </c>
      <c r="H37" s="54"/>
      <c r="K37" s="8"/>
    </row>
    <row r="38" spans="1:11" ht="41.25" customHeight="1" x14ac:dyDescent="0.2">
      <c r="A38" s="4"/>
      <c r="D38" s="115" t="s">
        <v>25</v>
      </c>
      <c r="E38" s="116"/>
      <c r="F38" s="116"/>
      <c r="G38" s="53">
        <v>1</v>
      </c>
      <c r="H38" s="54"/>
      <c r="K38" s="8"/>
    </row>
    <row r="39" spans="1:11" ht="24.75" customHeight="1" x14ac:dyDescent="0.2">
      <c r="A39" s="4"/>
      <c r="D39" s="115" t="s">
        <v>26</v>
      </c>
      <c r="E39" s="116"/>
      <c r="F39" s="116"/>
      <c r="G39" s="53" t="s">
        <v>30</v>
      </c>
      <c r="H39" s="54"/>
      <c r="K39" s="8"/>
    </row>
    <row r="40" spans="1:11" ht="16.5" customHeight="1" thickBot="1" x14ac:dyDescent="0.25">
      <c r="A40" s="4"/>
      <c r="D40" s="125" t="s">
        <v>27</v>
      </c>
      <c r="E40" s="126"/>
      <c r="F40" s="126"/>
      <c r="G40" s="58" t="s">
        <v>30</v>
      </c>
      <c r="H40" s="59"/>
      <c r="K40" s="8"/>
    </row>
    <row r="41" spans="1:11" ht="34.5" customHeight="1" x14ac:dyDescent="0.2">
      <c r="A41" s="4"/>
      <c r="D41" s="113" t="s">
        <v>31</v>
      </c>
      <c r="E41" s="113"/>
      <c r="F41" s="113"/>
      <c r="G41" s="113"/>
      <c r="H41" s="113"/>
      <c r="I41" s="52"/>
      <c r="J41" s="52"/>
      <c r="K41" s="8"/>
    </row>
    <row r="42" spans="1:11" ht="12.75" customHeight="1" x14ac:dyDescent="0.2">
      <c r="A42" s="4"/>
      <c r="D42" s="114" t="s">
        <v>32</v>
      </c>
      <c r="E42" s="114"/>
      <c r="F42" s="114"/>
      <c r="G42" s="114"/>
      <c r="H42" s="114"/>
      <c r="I42" s="52"/>
      <c r="J42" s="52"/>
      <c r="K42" s="8"/>
    </row>
    <row r="43" spans="1:11" ht="12.75" customHeight="1" x14ac:dyDescent="0.2">
      <c r="A43" s="4"/>
      <c r="D43" s="114" t="s">
        <v>34</v>
      </c>
      <c r="E43" s="114"/>
      <c r="F43" s="114"/>
      <c r="G43" s="114"/>
      <c r="H43" s="114"/>
      <c r="I43" s="52"/>
      <c r="J43" s="52"/>
      <c r="K43" s="8"/>
    </row>
    <row r="44" spans="1:11" ht="15.75" customHeight="1" thickBot="1" x14ac:dyDescent="0.25">
      <c r="A44" s="5"/>
      <c r="B44" s="6"/>
      <c r="C44" s="6"/>
      <c r="D44" s="6"/>
      <c r="E44" s="6"/>
      <c r="F44" s="6"/>
      <c r="G44" s="6"/>
      <c r="H44" s="6"/>
      <c r="I44" s="6"/>
      <c r="J44" s="6"/>
      <c r="K44" s="9"/>
    </row>
    <row r="45" spans="1:11" ht="15.75" customHeight="1" thickBot="1" x14ac:dyDescent="0.25">
      <c r="A45" s="30"/>
    </row>
    <row r="46" spans="1:11" x14ac:dyDescent="0.2">
      <c r="A46" s="14" t="s">
        <v>35</v>
      </c>
      <c r="B46" s="12"/>
      <c r="C46" s="11"/>
      <c r="D46" s="12"/>
      <c r="E46" s="12"/>
      <c r="F46" s="12"/>
      <c r="G46" s="11"/>
      <c r="H46" s="12"/>
      <c r="I46" s="11"/>
      <c r="J46" s="12"/>
      <c r="K46" s="13"/>
    </row>
    <row r="47" spans="1:11" x14ac:dyDescent="0.2">
      <c r="A47" s="4"/>
      <c r="K47" s="8"/>
    </row>
    <row r="48" spans="1:11" ht="15.75" x14ac:dyDescent="0.3">
      <c r="A48" s="4"/>
      <c r="C48" s="26" t="s">
        <v>56</v>
      </c>
      <c r="K48" s="8"/>
    </row>
    <row r="49" spans="1:11" x14ac:dyDescent="0.2">
      <c r="A49" s="4"/>
      <c r="C49" s="26" t="s">
        <v>51</v>
      </c>
      <c r="K49" s="8"/>
    </row>
    <row r="50" spans="1:11" x14ac:dyDescent="0.2">
      <c r="A50" s="4"/>
      <c r="C50" s="26" t="s">
        <v>52</v>
      </c>
      <c r="K50" s="8"/>
    </row>
    <row r="51" spans="1:11" x14ac:dyDescent="0.2">
      <c r="A51" s="4"/>
      <c r="C51" s="26" t="s">
        <v>57</v>
      </c>
      <c r="K51" s="8"/>
    </row>
    <row r="52" spans="1:11" x14ac:dyDescent="0.2">
      <c r="A52" s="4"/>
      <c r="K52" s="8"/>
    </row>
    <row r="53" spans="1:11" x14ac:dyDescent="0.2">
      <c r="A53" s="4"/>
      <c r="K53" s="8"/>
    </row>
    <row r="54" spans="1:11" x14ac:dyDescent="0.2">
      <c r="A54" s="4"/>
      <c r="K54" s="8"/>
    </row>
    <row r="55" spans="1:11" x14ac:dyDescent="0.2">
      <c r="A55" s="4"/>
      <c r="K55" s="8"/>
    </row>
    <row r="56" spans="1:11" x14ac:dyDescent="0.2">
      <c r="A56" s="4"/>
      <c r="K56" s="8"/>
    </row>
    <row r="57" spans="1:11" x14ac:dyDescent="0.2">
      <c r="A57" s="4"/>
      <c r="K57" s="8"/>
    </row>
    <row r="58" spans="1:11" x14ac:dyDescent="0.2">
      <c r="A58" s="4"/>
      <c r="K58" s="8"/>
    </row>
    <row r="59" spans="1:11" x14ac:dyDescent="0.2">
      <c r="A59" s="4"/>
      <c r="K59" s="8"/>
    </row>
    <row r="60" spans="1:11" x14ac:dyDescent="0.2">
      <c r="A60" s="4"/>
      <c r="K60" s="8"/>
    </row>
    <row r="61" spans="1:11" ht="13.5" thickBot="1" x14ac:dyDescent="0.25">
      <c r="A61" s="4"/>
      <c r="F61" s="10"/>
      <c r="G61" s="10"/>
      <c r="H61" s="10"/>
      <c r="I61" s="10"/>
      <c r="J61" s="10"/>
      <c r="K61" s="8"/>
    </row>
    <row r="62" spans="1:11" x14ac:dyDescent="0.2">
      <c r="A62" s="4"/>
      <c r="B62" s="60" t="s">
        <v>36</v>
      </c>
      <c r="C62" s="61"/>
      <c r="D62" s="62"/>
      <c r="E62" s="10"/>
      <c r="F62" s="60" t="s">
        <v>43</v>
      </c>
      <c r="G62" s="61"/>
      <c r="H62" s="61"/>
      <c r="I62" s="61"/>
      <c r="J62" s="75" t="s">
        <v>49</v>
      </c>
      <c r="K62" s="8"/>
    </row>
    <row r="63" spans="1:11" x14ac:dyDescent="0.2">
      <c r="A63" s="4"/>
      <c r="B63" s="63" t="s">
        <v>64</v>
      </c>
      <c r="C63" s="64"/>
      <c r="D63" s="65"/>
      <c r="E63" s="88"/>
      <c r="F63" s="74" t="s">
        <v>44</v>
      </c>
      <c r="G63" s="48"/>
      <c r="H63" s="48"/>
      <c r="I63" s="48"/>
      <c r="J63" s="76" t="str">
        <f>IF(C66&gt;300,"SI","NO")</f>
        <v>NO</v>
      </c>
      <c r="K63" s="8"/>
    </row>
    <row r="64" spans="1:11" ht="15.75" x14ac:dyDescent="0.3">
      <c r="A64" s="4"/>
      <c r="B64" s="78" t="s">
        <v>42</v>
      </c>
      <c r="C64" s="93">
        <v>23</v>
      </c>
      <c r="D64" s="79" t="s">
        <v>0</v>
      </c>
      <c r="F64" s="74" t="s">
        <v>45</v>
      </c>
      <c r="G64" s="48"/>
      <c r="H64" s="48"/>
      <c r="I64" s="48"/>
      <c r="J64" s="76" t="str">
        <f>IF(B$70="Limpias",IF(C$68&lt;5,"SI","NO"),"")</f>
        <v>SI</v>
      </c>
      <c r="K64" s="8"/>
    </row>
    <row r="65" spans="1:11" x14ac:dyDescent="0.2">
      <c r="A65" s="4"/>
      <c r="B65" s="63" t="s">
        <v>37</v>
      </c>
      <c r="C65" s="90"/>
      <c r="D65" s="91"/>
      <c r="E65" s="88"/>
      <c r="F65" s="74" t="s">
        <v>46</v>
      </c>
      <c r="G65" s="48"/>
      <c r="H65" s="48"/>
      <c r="I65" s="48"/>
      <c r="J65" s="76" t="str">
        <f>IF(B$70&lt;&gt;"Limpias",IF(C$68&lt;25,"SI","NO"),"")</f>
        <v/>
      </c>
      <c r="K65" s="8"/>
    </row>
    <row r="66" spans="1:11" ht="13.5" thickBot="1" x14ac:dyDescent="0.25">
      <c r="A66" s="4"/>
      <c r="B66" s="78" t="s">
        <v>38</v>
      </c>
      <c r="C66" s="94">
        <v>200</v>
      </c>
      <c r="D66" s="80" t="s">
        <v>41</v>
      </c>
      <c r="F66" s="66" t="s">
        <v>48</v>
      </c>
      <c r="G66" s="49"/>
      <c r="H66" s="49"/>
      <c r="I66" s="49"/>
      <c r="J66" s="77" t="str">
        <f>IF(C68/C66&lt;0.02,"SI","NO")</f>
        <v>SI</v>
      </c>
      <c r="K66" s="8"/>
    </row>
    <row r="67" spans="1:11" x14ac:dyDescent="0.2">
      <c r="A67" s="4"/>
      <c r="B67" s="63" t="s">
        <v>39</v>
      </c>
      <c r="C67" s="90"/>
      <c r="D67" s="91"/>
      <c r="E67" s="88"/>
      <c r="K67" s="8"/>
    </row>
    <row r="68" spans="1:11" x14ac:dyDescent="0.2">
      <c r="A68" s="4"/>
      <c r="B68" s="78" t="s">
        <v>40</v>
      </c>
      <c r="C68" s="94">
        <v>3</v>
      </c>
      <c r="D68" s="80" t="s">
        <v>41</v>
      </c>
      <c r="K68" s="8"/>
    </row>
    <row r="69" spans="1:11" x14ac:dyDescent="0.2">
      <c r="A69" s="4"/>
      <c r="B69" s="63" t="s">
        <v>47</v>
      </c>
      <c r="C69" s="64"/>
      <c r="D69" s="65"/>
      <c r="E69" s="88"/>
      <c r="K69" s="8"/>
    </row>
    <row r="70" spans="1:11" ht="13.5" thickBot="1" x14ac:dyDescent="0.25">
      <c r="A70" s="4"/>
      <c r="B70" s="106" t="s">
        <v>50</v>
      </c>
      <c r="C70" s="107"/>
      <c r="D70" s="108"/>
      <c r="K70" s="8"/>
    </row>
    <row r="71" spans="1:11" x14ac:dyDescent="0.2">
      <c r="A71" s="4"/>
      <c r="K71" s="8"/>
    </row>
    <row r="72" spans="1:11" ht="13.5" thickBot="1" x14ac:dyDescent="0.25">
      <c r="A72" s="4"/>
      <c r="K72" s="8"/>
    </row>
    <row r="73" spans="1:11" ht="14.25" x14ac:dyDescent="0.25">
      <c r="A73" s="4"/>
      <c r="B73" s="81" t="s">
        <v>55</v>
      </c>
      <c r="C73" s="72"/>
      <c r="D73" s="109" t="s">
        <v>66</v>
      </c>
      <c r="E73" s="86" t="s">
        <v>67</v>
      </c>
      <c r="K73" s="8"/>
    </row>
    <row r="74" spans="1:11" x14ac:dyDescent="0.2">
      <c r="A74" s="4"/>
      <c r="B74" s="84" t="s">
        <v>2</v>
      </c>
      <c r="C74" s="85" t="s">
        <v>65</v>
      </c>
      <c r="D74" s="110"/>
      <c r="E74" s="87" t="s">
        <v>0</v>
      </c>
      <c r="K74" s="8"/>
    </row>
    <row r="75" spans="1:11" x14ac:dyDescent="0.2">
      <c r="A75" s="4"/>
      <c r="B75" s="95">
        <v>1</v>
      </c>
      <c r="C75" s="82" t="str">
        <f>IF(AND(0.05&lt;C$66/(B75*1000),C$66/(B75*1000)&lt;2),"SI","NO")</f>
        <v>SI</v>
      </c>
      <c r="D75" s="83">
        <f>(3+C$66/(B75*1000))/(10*SQRT(1+300*C$68/C$66))</f>
        <v>0.13644845846759068</v>
      </c>
      <c r="E75" s="68">
        <f>C$64*D75</f>
        <v>3.1383145447545857</v>
      </c>
      <c r="K75" s="8"/>
    </row>
    <row r="76" spans="1:11" x14ac:dyDescent="0.2">
      <c r="A76" s="4"/>
      <c r="B76" s="96">
        <v>1.5</v>
      </c>
      <c r="C76" s="19" t="str">
        <f>IF(AND(0.05&lt;C$66/(B76*1000),C$66/(B76*1000)&lt;2),"SI","NO")</f>
        <v>SI</v>
      </c>
      <c r="D76" s="67">
        <f>(3+C$66/(B76*1000))/(10*SQRT(1+300*C$68/C$66))</f>
        <v>0.13360578224951586</v>
      </c>
      <c r="E76" s="68">
        <f>C$64*D76</f>
        <v>3.0729329917388646</v>
      </c>
      <c r="K76" s="8"/>
    </row>
    <row r="77" spans="1:11" x14ac:dyDescent="0.2">
      <c r="A77" s="4"/>
      <c r="B77" s="96">
        <v>2</v>
      </c>
      <c r="C77" s="19" t="str">
        <f>IF(AND(0.05&lt;C$66/(B77*1000),C$66/(B77*1000)&lt;2),"SI","NO")</f>
        <v>SI</v>
      </c>
      <c r="D77" s="67">
        <f>(3+C$66/(B77*1000))/(10*SQRT(1+300*C$68/C$66))</f>
        <v>0.13218444414047847</v>
      </c>
      <c r="E77" s="68">
        <f>C$64*D77</f>
        <v>3.0402422152310047</v>
      </c>
      <c r="K77" s="8"/>
    </row>
    <row r="78" spans="1:11" x14ac:dyDescent="0.2">
      <c r="A78" s="4"/>
      <c r="B78" s="96">
        <v>2.5</v>
      </c>
      <c r="C78" s="19" t="str">
        <f>IF(AND(0.05&lt;C$66/(B78*1000),C$66/(B78*1000)&lt;2),"SI","NO")</f>
        <v>SI</v>
      </c>
      <c r="D78" s="67">
        <f>(3+C$66/(B78*1000))/(10*SQRT(1+300*C$68/C$66))</f>
        <v>0.13133164127505603</v>
      </c>
      <c r="E78" s="68">
        <f>C$64*D78</f>
        <v>3.0206277493262887</v>
      </c>
      <c r="K78" s="8"/>
    </row>
    <row r="79" spans="1:11" ht="13.5" thickBot="1" x14ac:dyDescent="0.25">
      <c r="A79" s="4"/>
      <c r="B79" s="97">
        <v>3</v>
      </c>
      <c r="C79" s="69" t="str">
        <f>IF(AND(0.05&lt;C$66/(B79*1000),C$66/(B79*1000)&lt;2),"SI","NO")</f>
        <v>SI</v>
      </c>
      <c r="D79" s="70">
        <f>(3+C$66/(B79*1000))/(10*SQRT(1+300*C$68/C$66))</f>
        <v>0.13076310603144106</v>
      </c>
      <c r="E79" s="71">
        <f>C$64*D79</f>
        <v>3.0075514387231443</v>
      </c>
      <c r="K79" s="8"/>
    </row>
    <row r="80" spans="1:11" x14ac:dyDescent="0.2">
      <c r="A80" s="4"/>
      <c r="K80" s="8"/>
    </row>
    <row r="81" spans="1:11" x14ac:dyDescent="0.2">
      <c r="A81" s="4"/>
      <c r="K81" s="8"/>
    </row>
    <row r="82" spans="1:11" x14ac:dyDescent="0.2">
      <c r="A82" s="4"/>
      <c r="K82" s="8"/>
    </row>
    <row r="83" spans="1:11" x14ac:dyDescent="0.2">
      <c r="A83" s="4"/>
      <c r="K83" s="8"/>
    </row>
    <row r="84" spans="1:11" ht="13.5" thickBot="1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9"/>
    </row>
  </sheetData>
  <customSheetViews>
    <customSheetView guid="{5A0DBCB3-B2E7-4F2F-A73A-3B24630E7D1A}" showPageBreaks="1" showGridLines="0" fitToPage="1" printArea="1" view="pageBreakPreview" topLeftCell="A10">
      <selection activeCell="B70" sqref="B70:D70"/>
      <pageMargins left="0.78740157480314965" right="0.78740157480314965" top="0.52" bottom="0.54" header="0" footer="0"/>
      <pageSetup paperSize="9" scale="59" fitToHeight="2" orientation="portrait" r:id="rId1"/>
      <headerFooter alignWithMargins="0"/>
    </customSheetView>
    <customSheetView guid="{2F909812-D728-4B8D-9839-2364091D9253}" showPageBreaks="1" showGridLines="0" fitToPage="1" printArea="1" view="pageBreakPreview" showRuler="0" topLeftCell="A10">
      <selection activeCell="B70" sqref="B70:D70"/>
      <pageMargins left="0.78740157480314965" right="0.78740157480314965" top="0.52" bottom="0.54" header="0" footer="0"/>
      <pageSetup paperSize="9" scale="59" fitToHeight="2" orientation="portrait" r:id="rId2"/>
      <headerFooter alignWithMargins="0"/>
    </customSheetView>
    <customSheetView guid="{543E864F-509F-4920-81D1-F8BE4AA5D61C}" showPageBreaks="1" showGridLines="0" fitToPage="1" printArea="1" view="pageBreakPreview" showRuler="0" topLeftCell="A10">
      <selection activeCell="B70" sqref="B70:D70"/>
      <pageMargins left="0.78740157480314965" right="0.78740157480314965" top="0.52" bottom="0.54" header="0" footer="0"/>
      <pageSetup paperSize="9" scale="59" fitToHeight="2" orientation="portrait" r:id="rId3"/>
      <headerFooter alignWithMargins="0"/>
    </customSheetView>
    <customSheetView guid="{6D1BF510-2AF1-43B4-AE7F-259F79E565AC}" showPageBreaks="1" showGridLines="0" fitToPage="1" printArea="1" view="pageBreakPreview" showRuler="0" topLeftCell="A22">
      <selection activeCell="B70" sqref="B70:D70"/>
      <pageMargins left="0.78740157480314965" right="0.78740157480314965" top="0.52" bottom="0.54" header="0" footer="0"/>
      <pageSetup paperSize="9" scale="59" fitToHeight="2" orientation="portrait" r:id="rId4"/>
      <headerFooter alignWithMargins="0"/>
    </customSheetView>
    <customSheetView guid="{8127D4AB-9453-4548-91B7-C6CE80D2789C}" showPageBreaks="1" showGridLines="0" fitToPage="1" printArea="1" view="pageBreakPreview" showRuler="0">
      <selection activeCell="B70" sqref="B70:D70"/>
      <pageMargins left="0.78740157480314965" right="0.78740157480314965" top="0.52" bottom="0.54" header="0" footer="0"/>
      <pageSetup paperSize="9" scale="59" fitToHeight="2" orientation="portrait" r:id="rId5"/>
      <headerFooter alignWithMargins="0"/>
    </customSheetView>
    <customSheetView guid="{20C30929-F252-406C-8D94-44905722B9D9}" showPageBreaks="1" showGridLines="0" fitToPage="1" printArea="1" view="pageBreakPreview" showRuler="0" topLeftCell="A22">
      <selection activeCell="B70" sqref="B70:D70"/>
      <pageMargins left="0.78740157480314965" right="0.78740157480314965" top="0.52" bottom="0.54" header="0" footer="0"/>
      <pageSetup paperSize="9" scale="59" fitToHeight="2" orientation="portrait" r:id="rId6"/>
      <headerFooter alignWithMargins="0"/>
    </customSheetView>
    <customSheetView guid="{12114348-3A8D-4935-A6F6-768010CCAE46}" showPageBreaks="1" showGridLines="0" fitToPage="1" printArea="1" view="pageBreakPreview" showRuler="0" topLeftCell="A22">
      <selection activeCell="B70" sqref="B70:D70"/>
      <pageMargins left="0.78740157480314965" right="0.78740157480314965" top="0.52" bottom="0.54" header="0" footer="0"/>
      <pageSetup paperSize="9" scale="59" fitToHeight="2" orientation="portrait" r:id="rId7"/>
      <headerFooter alignWithMargins="0"/>
    </customSheetView>
    <customSheetView guid="{7FD2F097-FB49-43FA-AD37-E78F103B659E}" showPageBreaks="1" showGridLines="0" fitToPage="1" printArea="1" view="pageBreakPreview" showRuler="0" topLeftCell="A10">
      <selection activeCell="B70" sqref="B70:D70"/>
      <pageMargins left="0.78740157480314965" right="0.78740157480314965" top="0.52" bottom="0.54" header="0" footer="0"/>
      <pageSetup paperSize="9" scale="59" fitToHeight="2" orientation="portrait" r:id="rId8"/>
      <headerFooter alignWithMargins="0"/>
    </customSheetView>
    <customSheetView guid="{65522948-B87D-4DE1-A919-A9DBF05A422E}" showPageBreaks="1" showGridLines="0" fitToPage="1" printArea="1" view="pageBreakPreview" topLeftCell="A10">
      <selection activeCell="B70" sqref="B70:D70"/>
      <pageMargins left="0.78740157480314965" right="0.78740157480314965" top="0.52" bottom="0.54" header="0" footer="0"/>
      <pageSetup paperSize="9" scale="60" fitToHeight="2" orientation="portrait" r:id="rId9"/>
      <headerFooter alignWithMargins="0"/>
    </customSheetView>
  </customSheetViews>
  <mergeCells count="17">
    <mergeCell ref="D36:F36"/>
    <mergeCell ref="D20:D21"/>
    <mergeCell ref="B20:C22"/>
    <mergeCell ref="B70:D70"/>
    <mergeCell ref="D73:D74"/>
    <mergeCell ref="D32:F33"/>
    <mergeCell ref="D41:H41"/>
    <mergeCell ref="D42:H42"/>
    <mergeCell ref="D43:H43"/>
    <mergeCell ref="D37:F37"/>
    <mergeCell ref="D38:F38"/>
    <mergeCell ref="G20:I21"/>
    <mergeCell ref="E20:E21"/>
    <mergeCell ref="D39:F39"/>
    <mergeCell ref="D40:F40"/>
    <mergeCell ref="D34:F34"/>
    <mergeCell ref="D35:F35"/>
  </mergeCells>
  <phoneticPr fontId="2" type="noConversion"/>
  <conditionalFormatting sqref="J63:J66 C75:C79">
    <cfRule type="cellIs" dxfId="1" priority="1" stopIfTrue="1" operator="equal">
      <formula>"SI"</formula>
    </cfRule>
    <cfRule type="cellIs" dxfId="0" priority="2" stopIfTrue="1" operator="equal">
      <formula>"NO"</formula>
    </cfRule>
  </conditionalFormatting>
  <dataValidations count="1">
    <dataValidation type="list" allowBlank="1" showInputMessage="1" showErrorMessage="1" sqref="B70" xr:uid="{1B9FB3DA-1CF2-4CF8-9625-E6F16803B734}">
      <formula1>$P$3:$P$4</formula1>
    </dataValidation>
  </dataValidations>
  <pageMargins left="0.78740157480314965" right="0.78740157480314965" top="0.52" bottom="0.54" header="0" footer="0"/>
  <pageSetup paperSize="9" scale="60" fitToHeight="2" orientation="portrait" r:id="rId10"/>
  <headerFooter alignWithMargins="0"/>
  <drawing r:id="rId11"/>
  <legacyDrawing r:id="rId12"/>
  <oleObjects>
    <mc:AlternateContent xmlns:mc="http://schemas.openxmlformats.org/markup-compatibility/2006">
      <mc:Choice Requires="x14">
        <oleObject progId="Equation.3" shapeId="35852" r:id="rId13">
          <objectPr defaultSize="0" r:id="rId14">
            <anchor moveWithCells="1">
              <from>
                <xdr:col>4</xdr:col>
                <xdr:colOff>723900</xdr:colOff>
                <xdr:row>51</xdr:row>
                <xdr:rowOff>123825</xdr:rowOff>
              </from>
              <to>
                <xdr:col>5</xdr:col>
                <xdr:colOff>657225</xdr:colOff>
                <xdr:row>53</xdr:row>
                <xdr:rowOff>38100</xdr:rowOff>
              </to>
            </anchor>
          </objectPr>
        </oleObject>
      </mc:Choice>
      <mc:Fallback>
        <oleObject progId="Equation.3" shapeId="35852" r:id="rId13"/>
      </mc:Fallback>
    </mc:AlternateContent>
    <mc:AlternateContent xmlns:mc="http://schemas.openxmlformats.org/markup-compatibility/2006">
      <mc:Choice Requires="x14">
        <oleObject progId="Equation.3" shapeId="35853" r:id="rId15">
          <objectPr defaultSize="0" r:id="rId16">
            <anchor moveWithCells="1">
              <from>
                <xdr:col>4</xdr:col>
                <xdr:colOff>457200</xdr:colOff>
                <xdr:row>54</xdr:row>
                <xdr:rowOff>9525</xdr:rowOff>
              </from>
              <to>
                <xdr:col>6</xdr:col>
                <xdr:colOff>85725</xdr:colOff>
                <xdr:row>59</xdr:row>
                <xdr:rowOff>28575</xdr:rowOff>
              </to>
            </anchor>
          </objectPr>
        </oleObject>
      </mc:Choice>
      <mc:Fallback>
        <oleObject progId="Equation.3" shapeId="35853" r:id="rId1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ROCA</vt:lpstr>
      <vt:lpstr>ROCA!Área_de_impresión</vt:lpstr>
    </vt:vector>
  </TitlesOfParts>
  <Company>Cemosa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German Lopez Pineda</cp:lastModifiedBy>
  <cp:lastPrinted>2008-08-06T07:11:55Z</cp:lastPrinted>
  <dcterms:created xsi:type="dcterms:W3CDTF">2005-10-11T07:12:18Z</dcterms:created>
  <dcterms:modified xsi:type="dcterms:W3CDTF">2026-02-04T18:21:31Z</dcterms:modified>
</cp:coreProperties>
</file>