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cumentos\Desarrollo\Python\CalculoPilotes\Micropilotes\"/>
    </mc:Choice>
  </mc:AlternateContent>
  <xr:revisionPtr revIDLastSave="0" documentId="13_ncr:1_{7BED9EC4-FBEE-413D-8D34-78F6414AD0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cros Bustamante" sheetId="1" r:id="rId1"/>
    <sheet name="Micros Bustamante prueba" sheetId="3" r:id="rId2"/>
    <sheet name="GDMP prueb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" i="1" l="1"/>
  <c r="S55" i="1"/>
  <c r="T55" i="1"/>
  <c r="Q55" i="1"/>
  <c r="F34" i="3"/>
  <c r="D34" i="3"/>
  <c r="F33" i="3"/>
  <c r="D33" i="3"/>
  <c r="F32" i="3"/>
  <c r="D32" i="3"/>
  <c r="F17" i="3"/>
  <c r="F18" i="3" s="1"/>
  <c r="F19" i="3" s="1"/>
  <c r="E17" i="3"/>
  <c r="E18" i="3" s="1"/>
  <c r="E19" i="3" s="1"/>
  <c r="D17" i="3"/>
  <c r="D18" i="3" s="1"/>
  <c r="D19" i="3" s="1"/>
  <c r="C17" i="3"/>
  <c r="C18" i="3" s="1"/>
  <c r="C19" i="3" s="1"/>
  <c r="F12" i="3"/>
  <c r="F15" i="3" s="1"/>
  <c r="E12" i="3"/>
  <c r="E15" i="3" s="1"/>
  <c r="D12" i="3"/>
  <c r="D15" i="3" s="1"/>
  <c r="C12" i="3"/>
  <c r="C15" i="3" s="1"/>
  <c r="F5" i="3"/>
  <c r="F6" i="3" s="1"/>
  <c r="E5" i="3"/>
  <c r="E6" i="3" s="1"/>
  <c r="D5" i="3"/>
  <c r="D6" i="3" s="1"/>
  <c r="C5" i="3"/>
  <c r="C6" i="3" s="1"/>
  <c r="F3" i="3"/>
  <c r="F4" i="3" s="1"/>
  <c r="E3" i="3"/>
  <c r="E4" i="3" s="1"/>
  <c r="D3" i="3"/>
  <c r="D4" i="3" s="1"/>
  <c r="C3" i="3"/>
  <c r="C4" i="3" s="1"/>
  <c r="F41" i="2"/>
  <c r="F40" i="2"/>
  <c r="D40" i="2"/>
  <c r="D41" i="2"/>
  <c r="E41" i="2"/>
  <c r="C40" i="2"/>
  <c r="C41" i="2"/>
  <c r="F34" i="2"/>
  <c r="D34" i="2"/>
  <c r="F35" i="2"/>
  <c r="D35" i="2"/>
  <c r="F17" i="2"/>
  <c r="F18" i="2" s="1"/>
  <c r="F19" i="2" s="1"/>
  <c r="E17" i="2"/>
  <c r="E18" i="2" s="1"/>
  <c r="E19" i="2" s="1"/>
  <c r="D17" i="2"/>
  <c r="D18" i="2" s="1"/>
  <c r="D19" i="2" s="1"/>
  <c r="C17" i="2"/>
  <c r="C18" i="2" s="1"/>
  <c r="C19" i="2" s="1"/>
  <c r="F12" i="2"/>
  <c r="F15" i="2" s="1"/>
  <c r="E12" i="2"/>
  <c r="E15" i="2" s="1"/>
  <c r="D12" i="2"/>
  <c r="D15" i="2" s="1"/>
  <c r="C12" i="2"/>
  <c r="C15" i="2" s="1"/>
  <c r="F5" i="2"/>
  <c r="F6" i="2" s="1"/>
  <c r="E5" i="2"/>
  <c r="E6" i="2" s="1"/>
  <c r="D5" i="2"/>
  <c r="D6" i="2" s="1"/>
  <c r="C5" i="2"/>
  <c r="C6" i="2" s="1"/>
  <c r="F3" i="2"/>
  <c r="F4" i="2" s="1"/>
  <c r="E3" i="2"/>
  <c r="E4" i="2" s="1"/>
  <c r="D3" i="2"/>
  <c r="D4" i="2" s="1"/>
  <c r="C3" i="2"/>
  <c r="C4" i="2" s="1"/>
  <c r="T43" i="1"/>
  <c r="T44" i="1"/>
  <c r="S43" i="1"/>
  <c r="S44" i="1"/>
  <c r="R43" i="1"/>
  <c r="R44" i="1"/>
  <c r="Q43" i="1"/>
  <c r="Q44" i="1"/>
  <c r="T42" i="1"/>
  <c r="S42" i="1"/>
  <c r="R42" i="1"/>
  <c r="Q42" i="1"/>
  <c r="T33" i="1"/>
  <c r="S33" i="1"/>
  <c r="R33" i="1"/>
  <c r="Q33" i="1"/>
  <c r="T31" i="1"/>
  <c r="S31" i="1"/>
  <c r="R31" i="1"/>
  <c r="Q31" i="1"/>
  <c r="D7" i="1"/>
  <c r="E7" i="1"/>
  <c r="F7" i="1"/>
  <c r="D6" i="1"/>
  <c r="E6" i="1"/>
  <c r="F6" i="1"/>
  <c r="C7" i="1"/>
  <c r="C6" i="1"/>
  <c r="D18" i="1"/>
  <c r="E18" i="1"/>
  <c r="F18" i="1"/>
  <c r="C18" i="1"/>
  <c r="F33" i="1"/>
  <c r="F34" i="1"/>
  <c r="F32" i="1"/>
  <c r="T46" i="1"/>
  <c r="R46" i="1"/>
  <c r="S46" i="1"/>
  <c r="R47" i="1"/>
  <c r="S47" i="1"/>
  <c r="T47" i="1"/>
  <c r="T45" i="1"/>
  <c r="S45" i="1"/>
  <c r="R45" i="1"/>
  <c r="T36" i="1"/>
  <c r="S36" i="1"/>
  <c r="T34" i="1"/>
  <c r="S34" i="1"/>
  <c r="R36" i="1"/>
  <c r="R34" i="1"/>
  <c r="D33" i="1"/>
  <c r="D34" i="1"/>
  <c r="D32" i="1"/>
  <c r="D5" i="1"/>
  <c r="E5" i="1"/>
  <c r="F5" i="1"/>
  <c r="C5" i="1"/>
  <c r="D17" i="1"/>
  <c r="E17" i="1"/>
  <c r="F17" i="1"/>
  <c r="C17" i="1"/>
  <c r="D3" i="1"/>
  <c r="D4" i="1" s="1"/>
  <c r="E3" i="1"/>
  <c r="E4" i="1" s="1"/>
  <c r="F3" i="1"/>
  <c r="F4" i="1" s="1"/>
  <c r="C3" i="1"/>
  <c r="C4" i="1" s="1"/>
  <c r="C19" i="1"/>
  <c r="D12" i="1"/>
  <c r="D15" i="1" s="1"/>
  <c r="E12" i="1"/>
  <c r="E15" i="1" s="1"/>
  <c r="F12" i="1"/>
  <c r="F15" i="1" s="1"/>
  <c r="C12" i="1"/>
  <c r="C15" i="1"/>
  <c r="C16" i="1" s="1"/>
  <c r="Q33" i="3" l="1"/>
  <c r="Q36" i="3" s="1"/>
  <c r="Q32" i="3"/>
  <c r="Q35" i="3" s="1"/>
  <c r="Q31" i="3"/>
  <c r="Q34" i="3" s="1"/>
  <c r="C7" i="3"/>
  <c r="R33" i="3"/>
  <c r="R36" i="3" s="1"/>
  <c r="R32" i="3"/>
  <c r="R35" i="3" s="1"/>
  <c r="R31" i="3"/>
  <c r="R34" i="3" s="1"/>
  <c r="D7" i="3"/>
  <c r="S33" i="3"/>
  <c r="S36" i="3" s="1"/>
  <c r="S32" i="3"/>
  <c r="S35" i="3" s="1"/>
  <c r="S31" i="3"/>
  <c r="S34" i="3" s="1"/>
  <c r="E7" i="3"/>
  <c r="T33" i="3"/>
  <c r="T36" i="3" s="1"/>
  <c r="T32" i="3"/>
  <c r="T35" i="3" s="1"/>
  <c r="T31" i="3"/>
  <c r="T34" i="3" s="1"/>
  <c r="F7" i="3"/>
  <c r="C22" i="3"/>
  <c r="C23" i="3" s="1"/>
  <c r="C16" i="3"/>
  <c r="D22" i="3"/>
  <c r="D23" i="3" s="1"/>
  <c r="D16" i="3"/>
  <c r="E22" i="3"/>
  <c r="E23" i="3" s="1"/>
  <c r="E16" i="3"/>
  <c r="F22" i="3"/>
  <c r="F23" i="3" s="1"/>
  <c r="F16" i="3"/>
  <c r="T42" i="3"/>
  <c r="T45" i="3" s="1"/>
  <c r="S42" i="3"/>
  <c r="S45" i="3" s="1"/>
  <c r="R42" i="3"/>
  <c r="R45" i="3" s="1"/>
  <c r="Q42" i="3"/>
  <c r="Q45" i="3" s="1"/>
  <c r="T43" i="3"/>
  <c r="T46" i="3" s="1"/>
  <c r="S43" i="3"/>
  <c r="S46" i="3" s="1"/>
  <c r="R43" i="3"/>
  <c r="R46" i="3" s="1"/>
  <c r="Q43" i="3"/>
  <c r="Q46" i="3" s="1"/>
  <c r="T44" i="3"/>
  <c r="T47" i="3" s="1"/>
  <c r="S44" i="3"/>
  <c r="S47" i="3" s="1"/>
  <c r="R44" i="3"/>
  <c r="R47" i="3" s="1"/>
  <c r="Q44" i="3"/>
  <c r="Q47" i="3" s="1"/>
  <c r="T32" i="1"/>
  <c r="T35" i="1" s="1"/>
  <c r="S32" i="1"/>
  <c r="S35" i="1" s="1"/>
  <c r="R32" i="1"/>
  <c r="R35" i="1" s="1"/>
  <c r="Q32" i="1"/>
  <c r="Q32" i="2"/>
  <c r="Q35" i="2" s="1"/>
  <c r="Q31" i="2"/>
  <c r="Q34" i="2" s="1"/>
  <c r="C7" i="2"/>
  <c r="R32" i="2"/>
  <c r="R35" i="2" s="1"/>
  <c r="R31" i="2"/>
  <c r="R34" i="2" s="1"/>
  <c r="D7" i="2"/>
  <c r="S32" i="2"/>
  <c r="S35" i="2" s="1"/>
  <c r="S31" i="2"/>
  <c r="S34" i="2" s="1"/>
  <c r="E7" i="2"/>
  <c r="T32" i="2"/>
  <c r="T35" i="2" s="1"/>
  <c r="T31" i="2"/>
  <c r="T34" i="2" s="1"/>
  <c r="F7" i="2"/>
  <c r="C22" i="2"/>
  <c r="C23" i="2" s="1"/>
  <c r="C16" i="2"/>
  <c r="D22" i="2"/>
  <c r="D23" i="2" s="1"/>
  <c r="D16" i="2"/>
  <c r="E22" i="2"/>
  <c r="E23" i="2" s="1"/>
  <c r="E16" i="2"/>
  <c r="F22" i="2"/>
  <c r="F23" i="2" s="1"/>
  <c r="F16" i="2"/>
  <c r="T44" i="2"/>
  <c r="T47" i="2" s="1"/>
  <c r="S44" i="2"/>
  <c r="S47" i="2" s="1"/>
  <c r="R44" i="2"/>
  <c r="R47" i="2" s="1"/>
  <c r="Q44" i="2"/>
  <c r="Q47" i="2" s="1"/>
  <c r="T45" i="2"/>
  <c r="T48" i="2" s="1"/>
  <c r="S45" i="2"/>
  <c r="S48" i="2" s="1"/>
  <c r="R45" i="2"/>
  <c r="R48" i="2" s="1"/>
  <c r="Q45" i="2"/>
  <c r="Q48" i="2" s="1"/>
  <c r="Q45" i="1"/>
  <c r="Q46" i="1"/>
  <c r="Q47" i="1"/>
  <c r="Q35" i="1"/>
  <c r="Q36" i="1"/>
  <c r="Q34" i="1"/>
  <c r="F22" i="1"/>
  <c r="F23" i="1" s="1"/>
  <c r="F16" i="1"/>
  <c r="E22" i="1"/>
  <c r="E23" i="1" s="1"/>
  <c r="E16" i="1"/>
  <c r="D22" i="1"/>
  <c r="D23" i="1" s="1"/>
  <c r="D16" i="1"/>
  <c r="F19" i="1"/>
  <c r="E19" i="1"/>
  <c r="D19" i="1"/>
  <c r="C22" i="1"/>
  <c r="C23" i="1" s="1"/>
</calcChain>
</file>

<file path=xl/sharedStrings.xml><?xml version="1.0" encoding="utf-8"?>
<sst xmlns="http://schemas.openxmlformats.org/spreadsheetml/2006/main" count="220" uniqueCount="48">
  <si>
    <t>E (N/mm2)</t>
  </si>
  <si>
    <t>EA(N)</t>
  </si>
  <si>
    <t>EA(kN)</t>
  </si>
  <si>
    <t>De (mm)</t>
  </si>
  <si>
    <t>e(mm)</t>
  </si>
  <si>
    <t>Di (mm)</t>
  </si>
  <si>
    <t>Qs</t>
  </si>
  <si>
    <t>UG-01</t>
  </si>
  <si>
    <t>UG-02</t>
  </si>
  <si>
    <t>UG-03</t>
  </si>
  <si>
    <t>Qd</t>
  </si>
  <si>
    <t>kg/cm2</t>
  </si>
  <si>
    <t>A Transversal(mm2)</t>
  </si>
  <si>
    <t>A perimetral (mm2)</t>
  </si>
  <si>
    <t>A perimetral (cm2)</t>
  </si>
  <si>
    <t>A Transversal(cm2)</t>
  </si>
  <si>
    <t>A perimetral (m2)</t>
  </si>
  <si>
    <t>114/9</t>
  </si>
  <si>
    <t>114/7</t>
  </si>
  <si>
    <t>90/7</t>
  </si>
  <si>
    <t>73/5</t>
  </si>
  <si>
    <t>Dperforacion (mm)</t>
  </si>
  <si>
    <t>Micropilotes</t>
  </si>
  <si>
    <t>Micro Tipo</t>
  </si>
  <si>
    <t>Inyección IGU</t>
  </si>
  <si>
    <t>Inyección IRS</t>
  </si>
  <si>
    <t>Tracción</t>
  </si>
  <si>
    <t>Compresión</t>
  </si>
  <si>
    <t>Cortante</t>
  </si>
  <si>
    <t>Resistencia estructural Tn</t>
  </si>
  <si>
    <t>Fuste Tn/ml</t>
  </si>
  <si>
    <t>Punta Tn/ml</t>
  </si>
  <si>
    <t>m</t>
  </si>
  <si>
    <t>Potencia</t>
  </si>
  <si>
    <t>FS Fuste</t>
  </si>
  <si>
    <t>FS Punta</t>
  </si>
  <si>
    <t>Kg/cm2 IGU</t>
  </si>
  <si>
    <t>Kg/cm2 IRS</t>
  </si>
  <si>
    <t>Minoración IGU</t>
  </si>
  <si>
    <t>Minoración IRS</t>
  </si>
  <si>
    <t>Mayoración IGU</t>
  </si>
  <si>
    <t>Mayoración IRS</t>
  </si>
  <si>
    <t>IGU</t>
  </si>
  <si>
    <t>IRS</t>
  </si>
  <si>
    <t>MPa</t>
  </si>
  <si>
    <t>Diámetros perforación (mm)</t>
  </si>
  <si>
    <t>La resistencia a traccion es la de compresion /1,25</t>
  </si>
  <si>
    <t>La resistencia  de cortante es la de compresion 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</si>
</sst>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 vertical="center" textRotation="88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88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 textRotation="88" wrapText="1"/>
    </xf>
    <xf numFmtId="0" fontId="0" fillId="0" borderId="3" xfId="0" applyBorder="1" applyAlignment="1">
      <alignment horizontal="center" vertical="center" textRotation="88" wrapText="1"/>
    </xf>
    <xf numFmtId="0" fontId="0" fillId="0" borderId="4" xfId="0" applyBorder="1" applyAlignment="1">
      <alignment horizontal="center" vertical="center" textRotation="88" wrapText="1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 vertical="center" textRotation="88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2</xdr:row>
      <xdr:rowOff>95250</xdr:rowOff>
    </xdr:from>
    <xdr:to>
      <xdr:col>17</xdr:col>
      <xdr:colOff>256604</xdr:colOff>
      <xdr:row>17</xdr:row>
      <xdr:rowOff>66321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D10EA7-0E76-65CD-8BFD-0BE6163C1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0" y="476250"/>
          <a:ext cx="4571429" cy="28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18</xdr:row>
      <xdr:rowOff>0</xdr:rowOff>
    </xdr:from>
    <xdr:to>
      <xdr:col>19</xdr:col>
      <xdr:colOff>551711</xdr:colOff>
      <xdr:row>26</xdr:row>
      <xdr:rowOff>47429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8889B5-88D4-C4C5-135E-7BE48291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3429000"/>
          <a:ext cx="5914286" cy="15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2</xdr:row>
      <xdr:rowOff>95250</xdr:rowOff>
    </xdr:from>
    <xdr:to>
      <xdr:col>17</xdr:col>
      <xdr:colOff>256604</xdr:colOff>
      <xdr:row>17</xdr:row>
      <xdr:rowOff>66321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141B80-10E6-41F4-B0A8-0B6D397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0" y="476250"/>
          <a:ext cx="4571429" cy="28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504825</xdr:colOff>
      <xdr:row>18</xdr:row>
      <xdr:rowOff>0</xdr:rowOff>
    </xdr:from>
    <xdr:to>
      <xdr:col>19</xdr:col>
      <xdr:colOff>551711</xdr:colOff>
      <xdr:row>26</xdr:row>
      <xdr:rowOff>47429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A6C476-BC4E-42B4-A6E1-C006858C5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3429000"/>
          <a:ext cx="5914286" cy="15714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0</xdr:row>
      <xdr:rowOff>0</xdr:rowOff>
    </xdr:from>
    <xdr:to>
      <xdr:col>17</xdr:col>
      <xdr:colOff>18479</xdr:colOff>
      <xdr:row>14</xdr:row>
      <xdr:rowOff>161571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BEDCE0-26D7-4529-9120-01BECB5F3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0"/>
          <a:ext cx="4571429" cy="2828571"/>
        </a:xfrm>
        <a:prstGeom prst="rect">
          <a:avLst/>
        </a:prstGeom>
      </xdr:spPr>
    </xdr:pic>
    <xdr:clientData/>
  </xdr:twoCellAnchor>
  <xdr:twoCellAnchor editAs="oneCell">
    <xdr:from>
      <xdr:col>10</xdr:col>
      <xdr:colOff>352425</xdr:colOff>
      <xdr:row>15</xdr:row>
      <xdr:rowOff>66675</xdr:rowOff>
    </xdr:from>
    <xdr:to>
      <xdr:col>19</xdr:col>
      <xdr:colOff>227861</xdr:colOff>
      <xdr:row>23</xdr:row>
      <xdr:rowOff>114104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2251F0-5F4D-7973-88F0-FA123F4B6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0" y="2924175"/>
          <a:ext cx="5914286" cy="15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59"/>
  <sheetViews>
    <sheetView tabSelected="1" topLeftCell="C46" workbookViewId="0">
      <selection activeCell="Q61" sqref="Q61:T61"/>
    </sheetView>
  </sheetViews>
  <sheetFormatPr baseColWidth="10" defaultColWidth="9.140625" defaultRowHeight="15" x14ac:dyDescent="0.25"/>
  <cols>
    <col min="2" max="2" width="18.7109375" bestFit="1" customWidth="1"/>
    <col min="3" max="6" width="11.140625" bestFit="1" customWidth="1"/>
    <col min="10" max="12" width="10.28515625" bestFit="1" customWidth="1"/>
    <col min="17" max="20" width="10.28515625" bestFit="1" customWidth="1"/>
  </cols>
  <sheetData>
    <row r="2" spans="1:6" x14ac:dyDescent="0.25">
      <c r="B2" t="s">
        <v>21</v>
      </c>
      <c r="C2">
        <v>125</v>
      </c>
      <c r="D2">
        <v>150</v>
      </c>
      <c r="E2">
        <v>150</v>
      </c>
      <c r="F2">
        <v>150</v>
      </c>
    </row>
    <row r="3" spans="1:6" x14ac:dyDescent="0.25">
      <c r="B3" t="s">
        <v>12</v>
      </c>
      <c r="C3" s="1">
        <f>0.25*PI()*(C2^2)</f>
        <v>12271.846303085129</v>
      </c>
      <c r="D3" s="1">
        <f t="shared" ref="D3:F3" si="0">0.25*PI()*(D2^2)</f>
        <v>17671.458676442588</v>
      </c>
      <c r="E3" s="1">
        <f t="shared" si="0"/>
        <v>17671.458676442588</v>
      </c>
      <c r="F3" s="1">
        <f t="shared" si="0"/>
        <v>17671.458676442588</v>
      </c>
    </row>
    <row r="4" spans="1:6" x14ac:dyDescent="0.25">
      <c r="B4" t="s">
        <v>15</v>
      </c>
      <c r="C4" s="3">
        <f>C3/100</f>
        <v>122.7184630308513</v>
      </c>
      <c r="D4" s="3">
        <f t="shared" ref="D4:F4" si="1">D3/100</f>
        <v>176.71458676442589</v>
      </c>
      <c r="E4" s="3">
        <f t="shared" si="1"/>
        <v>176.71458676442589</v>
      </c>
      <c r="F4" s="3">
        <f t="shared" si="1"/>
        <v>176.71458676442589</v>
      </c>
    </row>
    <row r="5" spans="1:6" x14ac:dyDescent="0.25">
      <c r="B5" t="s">
        <v>13</v>
      </c>
      <c r="C5" s="3">
        <f>PI()*C2*1</f>
        <v>392.69908169872411</v>
      </c>
      <c r="D5" s="3">
        <f t="shared" ref="D5:F5" si="2">PI()*D2*1</f>
        <v>471.23889803846896</v>
      </c>
      <c r="E5" s="3">
        <f t="shared" si="2"/>
        <v>471.23889803846896</v>
      </c>
      <c r="F5" s="3">
        <f t="shared" si="2"/>
        <v>471.23889803846896</v>
      </c>
    </row>
    <row r="6" spans="1:6" x14ac:dyDescent="0.25">
      <c r="B6" t="s">
        <v>14</v>
      </c>
      <c r="C6" s="3">
        <f>C5/10</f>
        <v>39.269908169872409</v>
      </c>
      <c r="D6" s="3">
        <f t="shared" ref="D6:F6" si="3">D5/10</f>
        <v>47.123889803846893</v>
      </c>
      <c r="E6" s="3">
        <f t="shared" si="3"/>
        <v>47.123889803846893</v>
      </c>
      <c r="F6" s="3">
        <f t="shared" si="3"/>
        <v>47.123889803846893</v>
      </c>
    </row>
    <row r="7" spans="1:6" x14ac:dyDescent="0.25">
      <c r="B7" t="s">
        <v>16</v>
      </c>
      <c r="C7">
        <f>C6/100</f>
        <v>0.39269908169872408</v>
      </c>
      <c r="D7">
        <f t="shared" ref="D7:F7" si="4">D6/100</f>
        <v>0.47123889803846891</v>
      </c>
      <c r="E7">
        <f t="shared" si="4"/>
        <v>0.47123889803846891</v>
      </c>
      <c r="F7">
        <f t="shared" si="4"/>
        <v>0.47123889803846891</v>
      </c>
    </row>
    <row r="10" spans="1:6" x14ac:dyDescent="0.25">
      <c r="A10" s="15" t="s">
        <v>22</v>
      </c>
      <c r="B10" t="s">
        <v>3</v>
      </c>
      <c r="C10">
        <v>73</v>
      </c>
      <c r="D10">
        <v>90</v>
      </c>
      <c r="E10">
        <v>114</v>
      </c>
      <c r="F10">
        <v>114</v>
      </c>
    </row>
    <row r="11" spans="1:6" x14ac:dyDescent="0.25">
      <c r="A11" s="15"/>
      <c r="B11" t="s">
        <v>4</v>
      </c>
      <c r="C11">
        <v>5</v>
      </c>
      <c r="D11">
        <v>7</v>
      </c>
      <c r="E11">
        <v>7</v>
      </c>
      <c r="F11">
        <v>9</v>
      </c>
    </row>
    <row r="12" spans="1:6" x14ac:dyDescent="0.25">
      <c r="A12" s="15"/>
      <c r="B12" t="s">
        <v>5</v>
      </c>
      <c r="C12">
        <f>C10-2*C11</f>
        <v>63</v>
      </c>
      <c r="D12">
        <f t="shared" ref="D12:F12" si="5">D10-2*D11</f>
        <v>76</v>
      </c>
      <c r="E12">
        <f t="shared" si="5"/>
        <v>100</v>
      </c>
      <c r="F12">
        <f t="shared" si="5"/>
        <v>96</v>
      </c>
    </row>
    <row r="15" spans="1:6" x14ac:dyDescent="0.25">
      <c r="B15" t="s">
        <v>12</v>
      </c>
      <c r="C15" s="1">
        <f>0.25*PI()*(C10^2-C12^2)</f>
        <v>1068.1415022205297</v>
      </c>
      <c r="D15" s="1">
        <f t="shared" ref="D15:F15" si="6">0.25*PI()*(D10^2-D12^2)</f>
        <v>1825.2653317356699</v>
      </c>
      <c r="E15" s="1">
        <f t="shared" si="6"/>
        <v>2353.0528975387551</v>
      </c>
      <c r="F15" s="1">
        <f t="shared" si="6"/>
        <v>2968.8050576423543</v>
      </c>
    </row>
    <row r="16" spans="1:6" x14ac:dyDescent="0.25">
      <c r="B16" t="s">
        <v>15</v>
      </c>
      <c r="C16" s="1">
        <f>C15/100</f>
        <v>10.681415022205297</v>
      </c>
      <c r="D16" s="1">
        <f t="shared" ref="D16:F16" si="7">D15/100</f>
        <v>18.2526533173567</v>
      </c>
      <c r="E16" s="1">
        <f t="shared" si="7"/>
        <v>23.530528975387551</v>
      </c>
      <c r="F16" s="1">
        <f t="shared" si="7"/>
        <v>29.688050576423542</v>
      </c>
    </row>
    <row r="17" spans="2:20" x14ac:dyDescent="0.25">
      <c r="B17" t="s">
        <v>13</v>
      </c>
      <c r="C17" s="1">
        <f>PI()*C10*1</f>
        <v>229.33626371205489</v>
      </c>
      <c r="D17" s="1">
        <f t="shared" ref="D17:F17" si="8">PI()*D10*1</f>
        <v>282.74333882308139</v>
      </c>
      <c r="E17" s="1">
        <f t="shared" si="8"/>
        <v>358.14156250923639</v>
      </c>
      <c r="F17" s="1">
        <f t="shared" si="8"/>
        <v>358.14156250923639</v>
      </c>
    </row>
    <row r="18" spans="2:20" x14ac:dyDescent="0.25">
      <c r="B18" t="s">
        <v>14</v>
      </c>
      <c r="C18" s="1">
        <f>C17/10^2</f>
        <v>2.2933626371205489</v>
      </c>
      <c r="D18" s="1">
        <f t="shared" ref="D18:F18" si="9">D17/10^2</f>
        <v>2.8274333882308138</v>
      </c>
      <c r="E18" s="1">
        <f t="shared" si="9"/>
        <v>3.5814156250923639</v>
      </c>
      <c r="F18" s="1">
        <f t="shared" si="9"/>
        <v>3.5814156250923639</v>
      </c>
    </row>
    <row r="19" spans="2:20" x14ac:dyDescent="0.25">
      <c r="B19" t="s">
        <v>16</v>
      </c>
      <c r="C19" s="5">
        <f>C18/100^2</f>
        <v>2.2933626371205489E-4</v>
      </c>
      <c r="D19" s="5">
        <f t="shared" ref="D19:F19" si="10">D18/100^2</f>
        <v>2.8274333882308137E-4</v>
      </c>
      <c r="E19" s="5">
        <f t="shared" si="10"/>
        <v>3.5814156250923637E-4</v>
      </c>
      <c r="F19" s="5">
        <f t="shared" si="10"/>
        <v>3.5814156250923637E-4</v>
      </c>
    </row>
    <row r="20" spans="2:20" x14ac:dyDescent="0.25">
      <c r="C20" s="1"/>
      <c r="D20" s="1"/>
      <c r="E20" s="1"/>
      <c r="F20" s="1"/>
    </row>
    <row r="21" spans="2:20" x14ac:dyDescent="0.25">
      <c r="B21" t="s">
        <v>0</v>
      </c>
      <c r="C21" s="1">
        <v>210000</v>
      </c>
      <c r="D21" s="1">
        <v>210000</v>
      </c>
      <c r="E21" s="1">
        <v>210000</v>
      </c>
      <c r="F21" s="1">
        <v>210000</v>
      </c>
    </row>
    <row r="22" spans="2:20" x14ac:dyDescent="0.25">
      <c r="B22" t="s">
        <v>1</v>
      </c>
      <c r="C22" s="2">
        <f>C21*C15</f>
        <v>224309715.46631125</v>
      </c>
      <c r="D22" s="2">
        <f>D21*D15</f>
        <v>383305719.6644907</v>
      </c>
      <c r="E22" s="2">
        <f>E21*E15</f>
        <v>494141108.48313856</v>
      </c>
      <c r="F22" s="2">
        <f>F21*F15</f>
        <v>623449062.1048944</v>
      </c>
    </row>
    <row r="23" spans="2:20" x14ac:dyDescent="0.25">
      <c r="B23" t="s">
        <v>2</v>
      </c>
      <c r="C23" s="2">
        <f>C22/1000</f>
        <v>224309.71546631126</v>
      </c>
      <c r="D23" s="2">
        <f t="shared" ref="D23:F23" si="11">D22/1000</f>
        <v>383305.71966449072</v>
      </c>
      <c r="E23" s="2">
        <f t="shared" si="11"/>
        <v>494141.10848313855</v>
      </c>
      <c r="F23" s="2">
        <f t="shared" si="11"/>
        <v>623449.06210489443</v>
      </c>
    </row>
    <row r="24" spans="2:20" x14ac:dyDescent="0.25">
      <c r="C24" s="2"/>
      <c r="D24" s="2"/>
      <c r="E24" s="2"/>
      <c r="F24" s="2"/>
    </row>
    <row r="26" spans="2:20" x14ac:dyDescent="0.25">
      <c r="B26" t="s">
        <v>34</v>
      </c>
      <c r="C26">
        <v>2</v>
      </c>
    </row>
    <row r="27" spans="2:20" x14ac:dyDescent="0.25">
      <c r="B27" t="s">
        <v>35</v>
      </c>
      <c r="C27">
        <v>3</v>
      </c>
    </row>
    <row r="28" spans="2:20" x14ac:dyDescent="0.25">
      <c r="B28" t="s">
        <v>40</v>
      </c>
      <c r="C28">
        <v>1.1499999999999999</v>
      </c>
      <c r="Q28" t="s">
        <v>23</v>
      </c>
      <c r="R28" t="s">
        <v>23</v>
      </c>
      <c r="S28" t="s">
        <v>23</v>
      </c>
      <c r="T28" t="s">
        <v>23</v>
      </c>
    </row>
    <row r="29" spans="2:20" x14ac:dyDescent="0.25">
      <c r="B29" t="s">
        <v>41</v>
      </c>
      <c r="C29">
        <v>1.6</v>
      </c>
      <c r="Q29" s="4" t="s">
        <v>20</v>
      </c>
      <c r="R29" s="4" t="s">
        <v>19</v>
      </c>
      <c r="S29" s="4" t="s">
        <v>18</v>
      </c>
      <c r="T29" s="4" t="s">
        <v>17</v>
      </c>
    </row>
    <row r="30" spans="2:20" x14ac:dyDescent="0.25">
      <c r="C30" s="14" t="s">
        <v>36</v>
      </c>
      <c r="D30" s="14"/>
      <c r="E30" s="14" t="s">
        <v>37</v>
      </c>
      <c r="F30" s="14"/>
      <c r="G30" t="s">
        <v>32</v>
      </c>
      <c r="Q30" s="14" t="s">
        <v>24</v>
      </c>
      <c r="R30" s="14"/>
      <c r="S30" s="14"/>
      <c r="T30" s="14"/>
    </row>
    <row r="31" spans="2:20" x14ac:dyDescent="0.25">
      <c r="C31" s="4" t="s">
        <v>6</v>
      </c>
      <c r="D31" s="4" t="s">
        <v>10</v>
      </c>
      <c r="E31" s="4" t="s">
        <v>6</v>
      </c>
      <c r="F31" s="4" t="s">
        <v>10</v>
      </c>
      <c r="G31" t="s">
        <v>33</v>
      </c>
      <c r="O31" s="13" t="s">
        <v>30</v>
      </c>
      <c r="P31" t="s">
        <v>7</v>
      </c>
      <c r="Q31" s="3">
        <f>D32*$C$6*0.1/$C$26</f>
        <v>1.8967365646048373</v>
      </c>
      <c r="R31" s="3">
        <f>D32*$D$6*0.1/$C$26</f>
        <v>2.2760838775258048</v>
      </c>
      <c r="S31" s="3">
        <f>D32*$E$6*0.1/$C$26</f>
        <v>2.2760838775258048</v>
      </c>
      <c r="T31" s="3">
        <f>D32*$F$6*0.1/$C$26</f>
        <v>2.2760838775258048</v>
      </c>
    </row>
    <row r="32" spans="2:20" x14ac:dyDescent="0.25">
      <c r="B32" t="s">
        <v>7</v>
      </c>
      <c r="C32" s="4">
        <v>0.84</v>
      </c>
      <c r="D32" s="7">
        <f>C32*$C$28</f>
        <v>0.96599999999999986</v>
      </c>
      <c r="E32" s="4">
        <v>1.52</v>
      </c>
      <c r="F32" s="7">
        <f>E32*$C$29</f>
        <v>2.4320000000000004</v>
      </c>
      <c r="G32" s="4">
        <v>5</v>
      </c>
      <c r="O32" s="13"/>
      <c r="P32" t="s">
        <v>8</v>
      </c>
      <c r="Q32" s="3">
        <f t="shared" ref="Q32:Q33" si="12">D33*$C$6*0.1/$C$26</f>
        <v>2.5289820861397834</v>
      </c>
      <c r="R32" s="3">
        <f t="shared" ref="R32:R33" si="13">D33*$D$6*0.1/$C$26</f>
        <v>3.0347785033677401</v>
      </c>
      <c r="S32" s="3">
        <f t="shared" ref="S32:S33" si="14">D33*$E$6*0.1/$C$26</f>
        <v>3.0347785033677401</v>
      </c>
      <c r="T32" s="3">
        <f t="shared" ref="T32:T33" si="15">D33*$F$6*0.1/$C$26</f>
        <v>3.0347785033677401</v>
      </c>
    </row>
    <row r="33" spans="2:20" x14ac:dyDescent="0.25">
      <c r="B33" t="s">
        <v>8</v>
      </c>
      <c r="C33" s="4">
        <v>1.1200000000000001</v>
      </c>
      <c r="D33" s="7">
        <f t="shared" ref="D33:D34" si="16">C33*$C$28</f>
        <v>1.288</v>
      </c>
      <c r="E33" s="4">
        <v>2.19</v>
      </c>
      <c r="F33" s="7">
        <f t="shared" ref="F33:F34" si="17">E33*$C$29</f>
        <v>3.504</v>
      </c>
      <c r="G33" s="4">
        <v>3.4</v>
      </c>
      <c r="O33" s="13"/>
      <c r="P33" t="s">
        <v>9</v>
      </c>
      <c r="Q33" s="3">
        <f t="shared" si="12"/>
        <v>3.3870295796514953</v>
      </c>
      <c r="R33" s="3">
        <f t="shared" si="13"/>
        <v>4.0644354955817947</v>
      </c>
      <c r="S33" s="3">
        <f t="shared" si="14"/>
        <v>4.0644354955817947</v>
      </c>
      <c r="T33" s="3">
        <f t="shared" si="15"/>
        <v>4.0644354955817947</v>
      </c>
    </row>
    <row r="34" spans="2:20" x14ac:dyDescent="0.25">
      <c r="B34" t="s">
        <v>9</v>
      </c>
      <c r="C34" s="4">
        <v>1.5</v>
      </c>
      <c r="D34" s="7">
        <f t="shared" si="16"/>
        <v>1.7249999999999999</v>
      </c>
      <c r="E34" s="4">
        <v>2.48</v>
      </c>
      <c r="F34" s="7">
        <f t="shared" si="17"/>
        <v>3.968</v>
      </c>
      <c r="G34" s="4">
        <v>6.2</v>
      </c>
      <c r="O34" s="13" t="s">
        <v>31</v>
      </c>
      <c r="P34" t="s">
        <v>7</v>
      </c>
      <c r="Q34" s="3">
        <f>0.1*Q31</f>
        <v>0.18967365646048373</v>
      </c>
      <c r="R34" s="3">
        <f t="shared" ref="R34:T34" si="18">0.1*R31</f>
        <v>0.22760838775258049</v>
      </c>
      <c r="S34" s="3">
        <f t="shared" si="18"/>
        <v>0.22760838775258049</v>
      </c>
      <c r="T34" s="3">
        <f t="shared" si="18"/>
        <v>0.22760838775258049</v>
      </c>
    </row>
    <row r="35" spans="2:20" x14ac:dyDescent="0.25">
      <c r="O35" s="13"/>
      <c r="P35" t="s">
        <v>8</v>
      </c>
      <c r="Q35" s="3">
        <f t="shared" ref="Q35:T36" si="19">0.1*Q32</f>
        <v>0.25289820861397833</v>
      </c>
      <c r="R35" s="3">
        <f t="shared" si="19"/>
        <v>0.30347785033677405</v>
      </c>
      <c r="S35" s="3">
        <f t="shared" si="19"/>
        <v>0.30347785033677405</v>
      </c>
      <c r="T35" s="3">
        <f t="shared" si="19"/>
        <v>0.30347785033677405</v>
      </c>
    </row>
    <row r="36" spans="2:20" x14ac:dyDescent="0.25">
      <c r="C36" s="4"/>
      <c r="O36" s="13"/>
      <c r="P36" t="s">
        <v>9</v>
      </c>
      <c r="Q36" s="3">
        <f t="shared" si="19"/>
        <v>0.33870295796514954</v>
      </c>
      <c r="R36" s="3">
        <f t="shared" si="19"/>
        <v>0.40644354955817952</v>
      </c>
      <c r="S36" s="3">
        <f t="shared" si="19"/>
        <v>0.40644354955817952</v>
      </c>
      <c r="T36" s="3">
        <f t="shared" si="19"/>
        <v>0.40644354955817952</v>
      </c>
    </row>
    <row r="37" spans="2:20" x14ac:dyDescent="0.25">
      <c r="C37" s="4"/>
    </row>
    <row r="38" spans="2:20" x14ac:dyDescent="0.25">
      <c r="C38" s="6"/>
    </row>
    <row r="39" spans="2:20" x14ac:dyDescent="0.25">
      <c r="C39" s="6"/>
      <c r="Q39" t="s">
        <v>23</v>
      </c>
      <c r="R39" t="s">
        <v>23</v>
      </c>
      <c r="S39" t="s">
        <v>23</v>
      </c>
      <c r="T39" t="s">
        <v>23</v>
      </c>
    </row>
    <row r="40" spans="2:20" x14ac:dyDescent="0.25">
      <c r="C40" s="6"/>
      <c r="Q40" s="4" t="s">
        <v>20</v>
      </c>
      <c r="R40" s="4" t="s">
        <v>19</v>
      </c>
      <c r="S40" s="4" t="s">
        <v>18</v>
      </c>
      <c r="T40" s="4" t="s">
        <v>17</v>
      </c>
    </row>
    <row r="41" spans="2:20" x14ac:dyDescent="0.25">
      <c r="C41" s="6"/>
      <c r="Q41" s="14" t="s">
        <v>25</v>
      </c>
      <c r="R41" s="14"/>
      <c r="S41" s="14"/>
      <c r="T41" s="14"/>
    </row>
    <row r="42" spans="2:20" x14ac:dyDescent="0.25">
      <c r="O42" s="13" t="s">
        <v>30</v>
      </c>
      <c r="P42" t="s">
        <v>7</v>
      </c>
      <c r="Q42" s="3">
        <f>F32*$C$6*0.1/$C$26</f>
        <v>4.7752208334564861</v>
      </c>
      <c r="R42" s="3">
        <f>F32*$D$6*0.1/$C$26</f>
        <v>5.7302650001477833</v>
      </c>
      <c r="S42" s="3">
        <f>F32*$E$6*0.1/$C$26</f>
        <v>5.7302650001477833</v>
      </c>
      <c r="T42" s="3">
        <f>F32*$F$6*0.1/$C$26</f>
        <v>5.7302650001477833</v>
      </c>
    </row>
    <row r="43" spans="2:20" x14ac:dyDescent="0.25">
      <c r="O43" s="13"/>
      <c r="P43" t="s">
        <v>8</v>
      </c>
      <c r="Q43" s="3">
        <f t="shared" ref="Q43:Q44" si="20">F33*$C$6*0.1/$C$26</f>
        <v>6.8800879113616462</v>
      </c>
      <c r="R43" s="3">
        <f t="shared" ref="R43:R44" si="21">F33*$D$6*0.1/$C$26</f>
        <v>8.2561054936339762</v>
      </c>
      <c r="S43" s="3">
        <f t="shared" ref="S43:S44" si="22">F33*$E$6*0.1/$C$26</f>
        <v>8.2561054936339762</v>
      </c>
      <c r="T43" s="3">
        <f t="shared" ref="T43:T44" si="23">F33*$F$6*0.1/$C$26</f>
        <v>8.2561054936339762</v>
      </c>
    </row>
    <row r="44" spans="2:20" x14ac:dyDescent="0.25">
      <c r="O44" s="13"/>
      <c r="P44" t="s">
        <v>9</v>
      </c>
      <c r="Q44" s="3">
        <f t="shared" si="20"/>
        <v>7.7911497809026855</v>
      </c>
      <c r="R44" s="3">
        <f t="shared" si="21"/>
        <v>9.3493797370832237</v>
      </c>
      <c r="S44" s="3">
        <f t="shared" si="22"/>
        <v>9.3493797370832237</v>
      </c>
      <c r="T44" s="3">
        <f t="shared" si="23"/>
        <v>9.3493797370832237</v>
      </c>
    </row>
    <row r="45" spans="2:20" x14ac:dyDescent="0.25">
      <c r="O45" s="13" t="s">
        <v>31</v>
      </c>
      <c r="P45" t="s">
        <v>7</v>
      </c>
      <c r="Q45" s="3">
        <f>0.1*Q42</f>
        <v>0.47752208334564861</v>
      </c>
      <c r="R45" s="3">
        <f t="shared" ref="R45:T45" si="24">0.1*R42</f>
        <v>0.57302650001477839</v>
      </c>
      <c r="S45" s="3">
        <f t="shared" si="24"/>
        <v>0.57302650001477839</v>
      </c>
      <c r="T45" s="3">
        <f t="shared" si="24"/>
        <v>0.57302650001477839</v>
      </c>
    </row>
    <row r="46" spans="2:20" x14ac:dyDescent="0.25">
      <c r="O46" s="13"/>
      <c r="P46" t="s">
        <v>8</v>
      </c>
      <c r="Q46" s="3">
        <f t="shared" ref="Q46:T47" si="25">0.1*Q43</f>
        <v>0.68800879113616464</v>
      </c>
      <c r="R46" s="3">
        <f t="shared" si="25"/>
        <v>0.82561054936339762</v>
      </c>
      <c r="S46" s="3">
        <f t="shared" si="25"/>
        <v>0.82561054936339762</v>
      </c>
      <c r="T46" s="3">
        <f t="shared" si="25"/>
        <v>0.82561054936339762</v>
      </c>
    </row>
    <row r="47" spans="2:20" x14ac:dyDescent="0.25">
      <c r="O47" s="13"/>
      <c r="P47" t="s">
        <v>9</v>
      </c>
      <c r="Q47" s="3">
        <f t="shared" si="25"/>
        <v>0.77911497809026864</v>
      </c>
      <c r="R47" s="3">
        <f t="shared" si="25"/>
        <v>0.93493797370832243</v>
      </c>
      <c r="S47" s="3">
        <f t="shared" si="25"/>
        <v>0.93493797370832243</v>
      </c>
      <c r="T47" s="3">
        <f t="shared" si="25"/>
        <v>0.93493797370832243</v>
      </c>
    </row>
    <row r="49" spans="16:20" x14ac:dyDescent="0.25">
      <c r="Q49" s="14" t="s">
        <v>29</v>
      </c>
      <c r="R49" s="14"/>
      <c r="S49" s="14"/>
      <c r="T49" s="14"/>
    </row>
    <row r="50" spans="16:20" x14ac:dyDescent="0.25">
      <c r="P50" s="8" t="s">
        <v>26</v>
      </c>
      <c r="Q50">
        <v>21.36</v>
      </c>
      <c r="R50">
        <v>36.51</v>
      </c>
      <c r="S50">
        <v>47.06</v>
      </c>
      <c r="T50">
        <v>59.38</v>
      </c>
    </row>
    <row r="51" spans="16:20" x14ac:dyDescent="0.25">
      <c r="P51" s="8" t="s">
        <v>27</v>
      </c>
      <c r="Q51">
        <v>26.7</v>
      </c>
      <c r="R51">
        <v>45.63</v>
      </c>
      <c r="S51">
        <v>58.83</v>
      </c>
      <c r="T51">
        <v>74.22</v>
      </c>
    </row>
    <row r="52" spans="16:20" x14ac:dyDescent="0.25">
      <c r="P52" s="8" t="s">
        <v>28</v>
      </c>
      <c r="Q52">
        <v>13.35</v>
      </c>
      <c r="R52">
        <v>22.82</v>
      </c>
      <c r="S52">
        <v>29.41</v>
      </c>
      <c r="T52">
        <v>37.11</v>
      </c>
    </row>
    <row r="55" spans="16:20" x14ac:dyDescent="0.25">
      <c r="Q55">
        <f>Q51/Q50</f>
        <v>1.25</v>
      </c>
      <c r="R55">
        <f t="shared" ref="R55:T55" si="26">R51/R50</f>
        <v>1.2497945768282663</v>
      </c>
      <c r="S55">
        <f t="shared" si="26"/>
        <v>1.2501062473438163</v>
      </c>
      <c r="T55">
        <f t="shared" si="26"/>
        <v>1.2499157965644998</v>
      </c>
    </row>
    <row r="58" spans="16:20" x14ac:dyDescent="0.25">
      <c r="P58" t="s">
        <v>46</v>
      </c>
    </row>
    <row r="59" spans="16:20" x14ac:dyDescent="0.25">
      <c r="P59" t="s">
        <v>47</v>
      </c>
    </row>
  </sheetData>
  <mergeCells count="10">
    <mergeCell ref="A10:A12"/>
    <mergeCell ref="Q30:T30"/>
    <mergeCell ref="O31:O33"/>
    <mergeCell ref="O34:O36"/>
    <mergeCell ref="Q41:T41"/>
    <mergeCell ref="O42:O44"/>
    <mergeCell ref="O45:O47"/>
    <mergeCell ref="Q49:T49"/>
    <mergeCell ref="E30:F30"/>
    <mergeCell ref="C30:D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F46-3355-4009-98FB-C9D798EFF9F5}">
  <dimension ref="A2:T52"/>
  <sheetViews>
    <sheetView topLeftCell="A19" workbookViewId="0">
      <selection activeCell="G47" sqref="G47"/>
    </sheetView>
  </sheetViews>
  <sheetFormatPr baseColWidth="10" defaultColWidth="9.140625" defaultRowHeight="15" x14ac:dyDescent="0.25"/>
  <cols>
    <col min="2" max="2" width="18.7109375" bestFit="1" customWidth="1"/>
    <col min="3" max="6" width="11.140625" bestFit="1" customWidth="1"/>
    <col min="10" max="12" width="10.28515625" bestFit="1" customWidth="1"/>
    <col min="17" max="20" width="10.28515625" bestFit="1" customWidth="1"/>
  </cols>
  <sheetData>
    <row r="2" spans="1:6" x14ac:dyDescent="0.25">
      <c r="B2" t="s">
        <v>21</v>
      </c>
      <c r="C2">
        <v>125</v>
      </c>
      <c r="D2">
        <v>150</v>
      </c>
      <c r="E2">
        <v>150</v>
      </c>
      <c r="F2">
        <v>150</v>
      </c>
    </row>
    <row r="3" spans="1:6" x14ac:dyDescent="0.25">
      <c r="B3" t="s">
        <v>12</v>
      </c>
      <c r="C3" s="1">
        <f>0.25*PI()*(C2^2)</f>
        <v>12271.846303085129</v>
      </c>
      <c r="D3" s="1">
        <f t="shared" ref="D3:F3" si="0">0.25*PI()*(D2^2)</f>
        <v>17671.458676442588</v>
      </c>
      <c r="E3" s="1">
        <f t="shared" si="0"/>
        <v>17671.458676442588</v>
      </c>
      <c r="F3" s="1">
        <f t="shared" si="0"/>
        <v>17671.458676442588</v>
      </c>
    </row>
    <row r="4" spans="1:6" x14ac:dyDescent="0.25">
      <c r="B4" t="s">
        <v>15</v>
      </c>
      <c r="C4" s="3">
        <f>C3/100</f>
        <v>122.7184630308513</v>
      </c>
      <c r="D4" s="3">
        <f t="shared" ref="D4:F4" si="1">D3/100</f>
        <v>176.71458676442589</v>
      </c>
      <c r="E4" s="3">
        <f t="shared" si="1"/>
        <v>176.71458676442589</v>
      </c>
      <c r="F4" s="3">
        <f t="shared" si="1"/>
        <v>176.71458676442589</v>
      </c>
    </row>
    <row r="5" spans="1:6" x14ac:dyDescent="0.25">
      <c r="B5" t="s">
        <v>13</v>
      </c>
      <c r="C5" s="3">
        <f>PI()*C2*1</f>
        <v>392.69908169872411</v>
      </c>
      <c r="D5" s="3">
        <f t="shared" ref="D5:F5" si="2">PI()*D2*1</f>
        <v>471.23889803846896</v>
      </c>
      <c r="E5" s="3">
        <f t="shared" si="2"/>
        <v>471.23889803846896</v>
      </c>
      <c r="F5" s="3">
        <f t="shared" si="2"/>
        <v>471.23889803846896</v>
      </c>
    </row>
    <row r="6" spans="1:6" x14ac:dyDescent="0.25">
      <c r="B6" t="s">
        <v>14</v>
      </c>
      <c r="C6" s="3">
        <f>C5/10</f>
        <v>39.269908169872409</v>
      </c>
      <c r="D6" s="3">
        <f t="shared" ref="D6:F6" si="3">D5/10</f>
        <v>47.123889803846893</v>
      </c>
      <c r="E6" s="3">
        <f t="shared" si="3"/>
        <v>47.123889803846893</v>
      </c>
      <c r="F6" s="3">
        <f t="shared" si="3"/>
        <v>47.123889803846893</v>
      </c>
    </row>
    <row r="7" spans="1:6" x14ac:dyDescent="0.25">
      <c r="B7" t="s">
        <v>16</v>
      </c>
      <c r="C7">
        <f>C6/100</f>
        <v>0.39269908169872408</v>
      </c>
      <c r="D7">
        <f t="shared" ref="D7:F7" si="4">D6/100</f>
        <v>0.47123889803846891</v>
      </c>
      <c r="E7">
        <f t="shared" si="4"/>
        <v>0.47123889803846891</v>
      </c>
      <c r="F7">
        <f t="shared" si="4"/>
        <v>0.47123889803846891</v>
      </c>
    </row>
    <row r="10" spans="1:6" x14ac:dyDescent="0.25">
      <c r="A10" s="15" t="s">
        <v>22</v>
      </c>
      <c r="B10" t="s">
        <v>3</v>
      </c>
      <c r="C10">
        <v>73</v>
      </c>
      <c r="D10">
        <v>90</v>
      </c>
      <c r="E10">
        <v>114</v>
      </c>
      <c r="F10">
        <v>114</v>
      </c>
    </row>
    <row r="11" spans="1:6" x14ac:dyDescent="0.25">
      <c r="A11" s="15"/>
      <c r="B11" t="s">
        <v>4</v>
      </c>
      <c r="C11">
        <v>5</v>
      </c>
      <c r="D11">
        <v>7</v>
      </c>
      <c r="E11">
        <v>7</v>
      </c>
      <c r="F11">
        <v>9</v>
      </c>
    </row>
    <row r="12" spans="1:6" x14ac:dyDescent="0.25">
      <c r="A12" s="15"/>
      <c r="B12" t="s">
        <v>5</v>
      </c>
      <c r="C12">
        <f>C10-2*C11</f>
        <v>63</v>
      </c>
      <c r="D12">
        <f t="shared" ref="D12:F12" si="5">D10-2*D11</f>
        <v>76</v>
      </c>
      <c r="E12">
        <f t="shared" si="5"/>
        <v>100</v>
      </c>
      <c r="F12">
        <f t="shared" si="5"/>
        <v>96</v>
      </c>
    </row>
    <row r="15" spans="1:6" x14ac:dyDescent="0.25">
      <c r="B15" t="s">
        <v>12</v>
      </c>
      <c r="C15" s="1">
        <f>0.25*PI()*(C10^2-C12^2)</f>
        <v>1068.1415022205297</v>
      </c>
      <c r="D15" s="1">
        <f t="shared" ref="D15:F15" si="6">0.25*PI()*(D10^2-D12^2)</f>
        <v>1825.2653317356699</v>
      </c>
      <c r="E15" s="1">
        <f t="shared" si="6"/>
        <v>2353.0528975387551</v>
      </c>
      <c r="F15" s="1">
        <f t="shared" si="6"/>
        <v>2968.8050576423543</v>
      </c>
    </row>
    <row r="16" spans="1:6" x14ac:dyDescent="0.25">
      <c r="B16" t="s">
        <v>15</v>
      </c>
      <c r="C16" s="1">
        <f>C15/100</f>
        <v>10.681415022205297</v>
      </c>
      <c r="D16" s="1">
        <f t="shared" ref="D16:F16" si="7">D15/100</f>
        <v>18.2526533173567</v>
      </c>
      <c r="E16" s="1">
        <f t="shared" si="7"/>
        <v>23.530528975387551</v>
      </c>
      <c r="F16" s="1">
        <f t="shared" si="7"/>
        <v>29.688050576423542</v>
      </c>
    </row>
    <row r="17" spans="2:20" x14ac:dyDescent="0.25">
      <c r="B17" t="s">
        <v>13</v>
      </c>
      <c r="C17" s="1">
        <f>PI()*C10*1</f>
        <v>229.33626371205489</v>
      </c>
      <c r="D17" s="1">
        <f t="shared" ref="D17:F17" si="8">PI()*D10*1</f>
        <v>282.74333882308139</v>
      </c>
      <c r="E17" s="1">
        <f t="shared" si="8"/>
        <v>358.14156250923639</v>
      </c>
      <c r="F17" s="1">
        <f t="shared" si="8"/>
        <v>358.14156250923639</v>
      </c>
    </row>
    <row r="18" spans="2:20" x14ac:dyDescent="0.25">
      <c r="B18" t="s">
        <v>14</v>
      </c>
      <c r="C18" s="1">
        <f>C17/10^2</f>
        <v>2.2933626371205489</v>
      </c>
      <c r="D18" s="1">
        <f t="shared" ref="D18:F18" si="9">D17/10^2</f>
        <v>2.8274333882308138</v>
      </c>
      <c r="E18" s="1">
        <f t="shared" si="9"/>
        <v>3.5814156250923639</v>
      </c>
      <c r="F18" s="1">
        <f t="shared" si="9"/>
        <v>3.5814156250923639</v>
      </c>
    </row>
    <row r="19" spans="2:20" x14ac:dyDescent="0.25">
      <c r="B19" t="s">
        <v>16</v>
      </c>
      <c r="C19" s="5">
        <f>C18/100^2</f>
        <v>2.2933626371205489E-4</v>
      </c>
      <c r="D19" s="5">
        <f t="shared" ref="D19:F19" si="10">D18/100^2</f>
        <v>2.8274333882308137E-4</v>
      </c>
      <c r="E19" s="5">
        <f t="shared" si="10"/>
        <v>3.5814156250923637E-4</v>
      </c>
      <c r="F19" s="5">
        <f t="shared" si="10"/>
        <v>3.5814156250923637E-4</v>
      </c>
    </row>
    <row r="20" spans="2:20" x14ac:dyDescent="0.25">
      <c r="C20" s="1"/>
      <c r="D20" s="1"/>
      <c r="E20" s="1"/>
      <c r="F20" s="1"/>
    </row>
    <row r="21" spans="2:20" x14ac:dyDescent="0.25">
      <c r="B21" t="s">
        <v>0</v>
      </c>
      <c r="C21" s="1">
        <v>210000</v>
      </c>
      <c r="D21" s="1">
        <v>210000</v>
      </c>
      <c r="E21" s="1">
        <v>210000</v>
      </c>
      <c r="F21" s="1">
        <v>210000</v>
      </c>
    </row>
    <row r="22" spans="2:20" x14ac:dyDescent="0.25">
      <c r="B22" t="s">
        <v>1</v>
      </c>
      <c r="C22" s="2">
        <f>C21*C15</f>
        <v>224309715.46631125</v>
      </c>
      <c r="D22" s="2">
        <f>D21*D15</f>
        <v>383305719.6644907</v>
      </c>
      <c r="E22" s="2">
        <f>E21*E15</f>
        <v>494141108.48313856</v>
      </c>
      <c r="F22" s="2">
        <f>F21*F15</f>
        <v>623449062.1048944</v>
      </c>
    </row>
    <row r="23" spans="2:20" x14ac:dyDescent="0.25">
      <c r="B23" t="s">
        <v>2</v>
      </c>
      <c r="C23" s="2">
        <f>C22/1000</f>
        <v>224309.71546631126</v>
      </c>
      <c r="D23" s="2">
        <f t="shared" ref="D23:F23" si="11">D22/1000</f>
        <v>383305.71966449072</v>
      </c>
      <c r="E23" s="2">
        <f t="shared" si="11"/>
        <v>494141.10848313855</v>
      </c>
      <c r="F23" s="2">
        <f t="shared" si="11"/>
        <v>623449.06210489443</v>
      </c>
    </row>
    <row r="24" spans="2:20" x14ac:dyDescent="0.25">
      <c r="C24" s="2"/>
      <c r="D24" s="2"/>
      <c r="E24" s="2"/>
      <c r="F24" s="2"/>
    </row>
    <row r="26" spans="2:20" x14ac:dyDescent="0.25">
      <c r="B26" t="s">
        <v>34</v>
      </c>
      <c r="C26">
        <v>2</v>
      </c>
    </row>
    <row r="27" spans="2:20" x14ac:dyDescent="0.25">
      <c r="B27" t="s">
        <v>35</v>
      </c>
      <c r="C27">
        <v>3</v>
      </c>
    </row>
    <row r="28" spans="2:20" x14ac:dyDescent="0.25">
      <c r="B28" t="s">
        <v>40</v>
      </c>
      <c r="C28">
        <v>1.1499999999999999</v>
      </c>
      <c r="Q28" t="s">
        <v>23</v>
      </c>
      <c r="R28" t="s">
        <v>23</v>
      </c>
      <c r="S28" t="s">
        <v>23</v>
      </c>
      <c r="T28" t="s">
        <v>23</v>
      </c>
    </row>
    <row r="29" spans="2:20" x14ac:dyDescent="0.25">
      <c r="B29" t="s">
        <v>41</v>
      </c>
      <c r="C29">
        <v>1.6</v>
      </c>
      <c r="Q29" s="4" t="s">
        <v>20</v>
      </c>
      <c r="R29" s="4" t="s">
        <v>19</v>
      </c>
      <c r="S29" s="4" t="s">
        <v>18</v>
      </c>
      <c r="T29" s="4" t="s">
        <v>17</v>
      </c>
    </row>
    <row r="30" spans="2:20" x14ac:dyDescent="0.25">
      <c r="C30" s="14" t="s">
        <v>36</v>
      </c>
      <c r="D30" s="14"/>
      <c r="E30" s="14" t="s">
        <v>37</v>
      </c>
      <c r="F30" s="14"/>
      <c r="G30" t="s">
        <v>32</v>
      </c>
      <c r="Q30" s="14" t="s">
        <v>24</v>
      </c>
      <c r="R30" s="14"/>
      <c r="S30" s="14"/>
      <c r="T30" s="14"/>
    </row>
    <row r="31" spans="2:20" x14ac:dyDescent="0.25">
      <c r="C31" s="4" t="s">
        <v>6</v>
      </c>
      <c r="D31" s="4" t="s">
        <v>10</v>
      </c>
      <c r="E31" s="4" t="s">
        <v>6</v>
      </c>
      <c r="F31" s="4" t="s">
        <v>10</v>
      </c>
      <c r="G31" t="s">
        <v>33</v>
      </c>
      <c r="O31" s="13" t="s">
        <v>30</v>
      </c>
      <c r="P31" t="s">
        <v>7</v>
      </c>
      <c r="Q31" s="3">
        <f>D32*$C$6*0.1/$C$26</f>
        <v>0</v>
      </c>
      <c r="R31" s="3">
        <f>D32*$D$6*0.1/$C$26</f>
        <v>0</v>
      </c>
      <c r="S31" s="3">
        <f>D32*$E$6*0.1/$C$26</f>
        <v>0</v>
      </c>
      <c r="T31" s="3">
        <f>D32*$F$6*0.1/$C$26</f>
        <v>0</v>
      </c>
    </row>
    <row r="32" spans="2:20" x14ac:dyDescent="0.25">
      <c r="B32" t="s">
        <v>7</v>
      </c>
      <c r="C32" s="4">
        <v>0</v>
      </c>
      <c r="D32" s="7">
        <f>C32*$C$28</f>
        <v>0</v>
      </c>
      <c r="E32" s="4">
        <v>0</v>
      </c>
      <c r="F32" s="7">
        <f>E32*$C$29</f>
        <v>0</v>
      </c>
      <c r="G32" s="4">
        <v>5</v>
      </c>
      <c r="O32" s="13"/>
      <c r="P32" t="s">
        <v>8</v>
      </c>
      <c r="Q32" s="3">
        <f t="shared" ref="Q32:Q33" si="12">D33*$C$6*0.1/$C$26</f>
        <v>4.0644354955817938</v>
      </c>
      <c r="R32" s="3">
        <f t="shared" ref="R32:R33" si="13">D33*$D$6*0.1/$C$26</f>
        <v>4.8773225946981533</v>
      </c>
      <c r="S32" s="3">
        <f t="shared" ref="S32:S33" si="14">D33*$E$6*0.1/$C$26</f>
        <v>4.8773225946981533</v>
      </c>
      <c r="T32" s="3">
        <f t="shared" ref="T32:T33" si="15">D33*$F$6*0.1/$C$26</f>
        <v>4.8773225946981533</v>
      </c>
    </row>
    <row r="33" spans="2:20" x14ac:dyDescent="0.25">
      <c r="B33" t="s">
        <v>8</v>
      </c>
      <c r="C33" s="4">
        <v>1.8</v>
      </c>
      <c r="D33" s="7">
        <f t="shared" ref="D33:D34" si="16">C33*$C$28</f>
        <v>2.0699999999999998</v>
      </c>
      <c r="E33" s="4">
        <v>4</v>
      </c>
      <c r="F33" s="7">
        <f t="shared" ref="F33:F34" si="17">E33*$C$29</f>
        <v>6.4</v>
      </c>
      <c r="G33" s="4">
        <v>3.4</v>
      </c>
      <c r="O33" s="13"/>
      <c r="P33" t="s">
        <v>9</v>
      </c>
      <c r="Q33" s="3">
        <f t="shared" si="12"/>
        <v>0</v>
      </c>
      <c r="R33" s="3">
        <f t="shared" si="13"/>
        <v>0</v>
      </c>
      <c r="S33" s="3">
        <f t="shared" si="14"/>
        <v>0</v>
      </c>
      <c r="T33" s="3">
        <f t="shared" si="15"/>
        <v>0</v>
      </c>
    </row>
    <row r="34" spans="2:20" x14ac:dyDescent="0.25">
      <c r="B34" t="s">
        <v>9</v>
      </c>
      <c r="C34" s="4">
        <v>0</v>
      </c>
      <c r="D34" s="7">
        <f t="shared" si="16"/>
        <v>0</v>
      </c>
      <c r="E34" s="4">
        <v>0</v>
      </c>
      <c r="F34" s="7">
        <f t="shared" si="17"/>
        <v>0</v>
      </c>
      <c r="G34" s="4">
        <v>6.2</v>
      </c>
      <c r="O34" s="13" t="s">
        <v>31</v>
      </c>
      <c r="P34" t="s">
        <v>7</v>
      </c>
      <c r="Q34" s="3">
        <f>0.1*Q31</f>
        <v>0</v>
      </c>
      <c r="R34" s="3">
        <f t="shared" ref="R34:T34" si="18">0.1*R31</f>
        <v>0</v>
      </c>
      <c r="S34" s="3">
        <f t="shared" si="18"/>
        <v>0</v>
      </c>
      <c r="T34" s="3">
        <f t="shared" si="18"/>
        <v>0</v>
      </c>
    </row>
    <row r="35" spans="2:20" x14ac:dyDescent="0.25">
      <c r="O35" s="13"/>
      <c r="P35" t="s">
        <v>8</v>
      </c>
      <c r="Q35" s="3">
        <f t="shared" ref="Q35:T36" si="19">0.1*Q32</f>
        <v>0.40644354955817941</v>
      </c>
      <c r="R35" s="3">
        <f t="shared" si="19"/>
        <v>0.48773225946981535</v>
      </c>
      <c r="S35" s="3">
        <f t="shared" si="19"/>
        <v>0.48773225946981535</v>
      </c>
      <c r="T35" s="3">
        <f t="shared" si="19"/>
        <v>0.48773225946981535</v>
      </c>
    </row>
    <row r="36" spans="2:20" x14ac:dyDescent="0.25">
      <c r="C36" s="4"/>
      <c r="O36" s="13"/>
      <c r="P36" t="s">
        <v>9</v>
      </c>
      <c r="Q36" s="3">
        <f t="shared" si="19"/>
        <v>0</v>
      </c>
      <c r="R36" s="3">
        <f t="shared" si="19"/>
        <v>0</v>
      </c>
      <c r="S36" s="3">
        <f t="shared" si="19"/>
        <v>0</v>
      </c>
      <c r="T36" s="3">
        <f t="shared" si="19"/>
        <v>0</v>
      </c>
    </row>
    <row r="37" spans="2:20" x14ac:dyDescent="0.25">
      <c r="C37" s="4"/>
    </row>
    <row r="38" spans="2:20" x14ac:dyDescent="0.25">
      <c r="C38" s="6"/>
    </row>
    <row r="39" spans="2:20" x14ac:dyDescent="0.25">
      <c r="C39" s="6"/>
      <c r="Q39" t="s">
        <v>23</v>
      </c>
      <c r="R39" t="s">
        <v>23</v>
      </c>
      <c r="S39" t="s">
        <v>23</v>
      </c>
      <c r="T39" t="s">
        <v>23</v>
      </c>
    </row>
    <row r="40" spans="2:20" x14ac:dyDescent="0.25">
      <c r="C40" s="6"/>
      <c r="Q40" s="4" t="s">
        <v>20</v>
      </c>
      <c r="R40" s="4" t="s">
        <v>19</v>
      </c>
      <c r="S40" s="4" t="s">
        <v>18</v>
      </c>
      <c r="T40" s="4" t="s">
        <v>17</v>
      </c>
    </row>
    <row r="41" spans="2:20" x14ac:dyDescent="0.25">
      <c r="C41" s="6"/>
      <c r="Q41" s="14" t="s">
        <v>25</v>
      </c>
      <c r="R41" s="14"/>
      <c r="S41" s="14"/>
      <c r="T41" s="14"/>
    </row>
    <row r="42" spans="2:20" x14ac:dyDescent="0.25">
      <c r="O42" s="13" t="s">
        <v>30</v>
      </c>
      <c r="P42" t="s">
        <v>7</v>
      </c>
      <c r="Q42" s="3">
        <f>F32*$C$6*0.1/$C$26</f>
        <v>0</v>
      </c>
      <c r="R42" s="3">
        <f>F32*$D$6*0.1/$C$26</f>
        <v>0</v>
      </c>
      <c r="S42" s="3">
        <f>F32*$E$6*0.1/$C$26</f>
        <v>0</v>
      </c>
      <c r="T42" s="3">
        <f>F32*$F$6*0.1/$C$26</f>
        <v>0</v>
      </c>
    </row>
    <row r="43" spans="2:20" x14ac:dyDescent="0.25">
      <c r="O43" s="13"/>
      <c r="P43" t="s">
        <v>8</v>
      </c>
      <c r="Q43" s="3">
        <f t="shared" ref="Q43:Q44" si="20">F33*$C$6*0.1/$C$26</f>
        <v>12.566370614359172</v>
      </c>
      <c r="R43" s="3">
        <f t="shared" ref="R43:R44" si="21">F33*$D$6*0.1/$C$26</f>
        <v>15.079644737231007</v>
      </c>
      <c r="S43" s="3">
        <f t="shared" ref="S43:S44" si="22">F33*$E$6*0.1/$C$26</f>
        <v>15.079644737231007</v>
      </c>
      <c r="T43" s="3">
        <f t="shared" ref="T43:T44" si="23">F33*$F$6*0.1/$C$26</f>
        <v>15.079644737231007</v>
      </c>
    </row>
    <row r="44" spans="2:20" x14ac:dyDescent="0.25">
      <c r="O44" s="13"/>
      <c r="P44" t="s">
        <v>9</v>
      </c>
      <c r="Q44" s="3">
        <f t="shared" si="20"/>
        <v>0</v>
      </c>
      <c r="R44" s="3">
        <f t="shared" si="21"/>
        <v>0</v>
      </c>
      <c r="S44" s="3">
        <f t="shared" si="22"/>
        <v>0</v>
      </c>
      <c r="T44" s="3">
        <f t="shared" si="23"/>
        <v>0</v>
      </c>
    </row>
    <row r="45" spans="2:20" x14ac:dyDescent="0.25">
      <c r="O45" s="13" t="s">
        <v>31</v>
      </c>
      <c r="P45" t="s">
        <v>7</v>
      </c>
      <c r="Q45" s="3">
        <f>0.1*Q42</f>
        <v>0</v>
      </c>
      <c r="R45" s="3">
        <f t="shared" ref="R45:T45" si="24">0.1*R42</f>
        <v>0</v>
      </c>
      <c r="S45" s="3">
        <f t="shared" si="24"/>
        <v>0</v>
      </c>
      <c r="T45" s="3">
        <f t="shared" si="24"/>
        <v>0</v>
      </c>
    </row>
    <row r="46" spans="2:20" x14ac:dyDescent="0.25">
      <c r="O46" s="13"/>
      <c r="P46" t="s">
        <v>8</v>
      </c>
      <c r="Q46" s="3">
        <f t="shared" ref="Q46:T47" si="25">0.1*Q43</f>
        <v>1.2566370614359172</v>
      </c>
      <c r="R46" s="3">
        <f t="shared" si="25"/>
        <v>1.5079644737231008</v>
      </c>
      <c r="S46" s="3">
        <f t="shared" si="25"/>
        <v>1.5079644737231008</v>
      </c>
      <c r="T46" s="3">
        <f t="shared" si="25"/>
        <v>1.5079644737231008</v>
      </c>
    </row>
    <row r="47" spans="2:20" x14ac:dyDescent="0.25">
      <c r="O47" s="13"/>
      <c r="P47" t="s">
        <v>9</v>
      </c>
      <c r="Q47" s="3">
        <f t="shared" si="25"/>
        <v>0</v>
      </c>
      <c r="R47" s="3">
        <f t="shared" si="25"/>
        <v>0</v>
      </c>
      <c r="S47" s="3">
        <f t="shared" si="25"/>
        <v>0</v>
      </c>
      <c r="T47" s="3">
        <f t="shared" si="25"/>
        <v>0</v>
      </c>
    </row>
    <row r="49" spans="16:20" x14ac:dyDescent="0.25">
      <c r="Q49" s="14" t="s">
        <v>29</v>
      </c>
      <c r="R49" s="14"/>
      <c r="S49" s="14"/>
      <c r="T49" s="14"/>
    </row>
    <row r="50" spans="16:20" x14ac:dyDescent="0.25">
      <c r="P50" s="8" t="s">
        <v>26</v>
      </c>
      <c r="Q50">
        <v>21.36</v>
      </c>
      <c r="R50">
        <v>36.51</v>
      </c>
      <c r="S50">
        <v>47.06</v>
      </c>
      <c r="T50">
        <v>59.38</v>
      </c>
    </row>
    <row r="51" spans="16:20" x14ac:dyDescent="0.25">
      <c r="P51" s="8" t="s">
        <v>27</v>
      </c>
      <c r="Q51">
        <v>26.7</v>
      </c>
      <c r="R51">
        <v>45.63</v>
      </c>
      <c r="S51">
        <v>58.83</v>
      </c>
      <c r="T51">
        <v>74.22</v>
      </c>
    </row>
    <row r="52" spans="16:20" x14ac:dyDescent="0.25">
      <c r="P52" s="8" t="s">
        <v>28</v>
      </c>
      <c r="Q52">
        <v>13.35</v>
      </c>
      <c r="R52">
        <v>22.82</v>
      </c>
      <c r="S52">
        <v>29.41</v>
      </c>
      <c r="T52">
        <v>37.11</v>
      </c>
    </row>
  </sheetData>
  <mergeCells count="10">
    <mergeCell ref="Q41:T41"/>
    <mergeCell ref="O42:O44"/>
    <mergeCell ref="O45:O47"/>
    <mergeCell ref="Q49:T49"/>
    <mergeCell ref="A10:A12"/>
    <mergeCell ref="C30:D30"/>
    <mergeCell ref="E30:F30"/>
    <mergeCell ref="Q30:T30"/>
    <mergeCell ref="O31:O33"/>
    <mergeCell ref="O34:O3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4093-017D-443D-9563-C2C9C49002C1}">
  <dimension ref="A2:T54"/>
  <sheetViews>
    <sheetView showGridLines="0" topLeftCell="A25" workbookViewId="0">
      <selection activeCell="K38" sqref="K38"/>
    </sheetView>
  </sheetViews>
  <sheetFormatPr baseColWidth="10" defaultColWidth="9.140625" defaultRowHeight="15" x14ac:dyDescent="0.25"/>
  <cols>
    <col min="2" max="2" width="18.7109375" bestFit="1" customWidth="1"/>
    <col min="3" max="6" width="11.140625" bestFit="1" customWidth="1"/>
    <col min="10" max="12" width="10.28515625" bestFit="1" customWidth="1"/>
    <col min="16" max="16" width="11.7109375" bestFit="1" customWidth="1"/>
    <col min="17" max="20" width="10.28515625" bestFit="1" customWidth="1"/>
  </cols>
  <sheetData>
    <row r="2" spans="1:6" x14ac:dyDescent="0.25">
      <c r="B2" t="s">
        <v>21</v>
      </c>
      <c r="C2">
        <v>125</v>
      </c>
      <c r="D2">
        <v>150</v>
      </c>
      <c r="E2">
        <v>150</v>
      </c>
      <c r="F2">
        <v>150</v>
      </c>
    </row>
    <row r="3" spans="1:6" x14ac:dyDescent="0.25">
      <c r="B3" t="s">
        <v>12</v>
      </c>
      <c r="C3" s="1">
        <f>0.25*PI()*(C2^2)</f>
        <v>12271.846303085129</v>
      </c>
      <c r="D3" s="1">
        <f t="shared" ref="D3:F3" si="0">0.25*PI()*(D2^2)</f>
        <v>17671.458676442588</v>
      </c>
      <c r="E3" s="1">
        <f t="shared" si="0"/>
        <v>17671.458676442588</v>
      </c>
      <c r="F3" s="1">
        <f t="shared" si="0"/>
        <v>17671.458676442588</v>
      </c>
    </row>
    <row r="4" spans="1:6" x14ac:dyDescent="0.25">
      <c r="B4" t="s">
        <v>15</v>
      </c>
      <c r="C4" s="3">
        <f>C3/100</f>
        <v>122.7184630308513</v>
      </c>
      <c r="D4" s="3">
        <f t="shared" ref="D4:F4" si="1">D3/100</f>
        <v>176.71458676442589</v>
      </c>
      <c r="E4" s="3">
        <f t="shared" si="1"/>
        <v>176.71458676442589</v>
      </c>
      <c r="F4" s="3">
        <f t="shared" si="1"/>
        <v>176.71458676442589</v>
      </c>
    </row>
    <row r="5" spans="1:6" x14ac:dyDescent="0.25">
      <c r="B5" t="s">
        <v>13</v>
      </c>
      <c r="C5" s="3">
        <f>PI()*C2*1</f>
        <v>392.69908169872411</v>
      </c>
      <c r="D5" s="3">
        <f t="shared" ref="D5:F5" si="2">PI()*D2*1</f>
        <v>471.23889803846896</v>
      </c>
      <c r="E5" s="3">
        <f t="shared" si="2"/>
        <v>471.23889803846896</v>
      </c>
      <c r="F5" s="3">
        <f t="shared" si="2"/>
        <v>471.23889803846896</v>
      </c>
    </row>
    <row r="6" spans="1:6" x14ac:dyDescent="0.25">
      <c r="B6" t="s">
        <v>14</v>
      </c>
      <c r="C6" s="3">
        <f>C5/10</f>
        <v>39.269908169872409</v>
      </c>
      <c r="D6" s="3">
        <f t="shared" ref="D6:F6" si="3">D5/10</f>
        <v>47.123889803846893</v>
      </c>
      <c r="E6" s="3">
        <f t="shared" si="3"/>
        <v>47.123889803846893</v>
      </c>
      <c r="F6" s="3">
        <f t="shared" si="3"/>
        <v>47.123889803846893</v>
      </c>
    </row>
    <row r="7" spans="1:6" x14ac:dyDescent="0.25">
      <c r="B7" t="s">
        <v>16</v>
      </c>
      <c r="C7">
        <f>C6/100</f>
        <v>0.39269908169872408</v>
      </c>
      <c r="D7">
        <f t="shared" ref="D7:F7" si="4">D6/100</f>
        <v>0.47123889803846891</v>
      </c>
      <c r="E7">
        <f t="shared" si="4"/>
        <v>0.47123889803846891</v>
      </c>
      <c r="F7">
        <f t="shared" si="4"/>
        <v>0.47123889803846891</v>
      </c>
    </row>
    <row r="10" spans="1:6" x14ac:dyDescent="0.25">
      <c r="A10" s="15" t="s">
        <v>22</v>
      </c>
      <c r="B10" t="s">
        <v>3</v>
      </c>
      <c r="C10">
        <v>73</v>
      </c>
      <c r="D10">
        <v>90</v>
      </c>
      <c r="E10">
        <v>114</v>
      </c>
      <c r="F10">
        <v>114</v>
      </c>
    </row>
    <row r="11" spans="1:6" x14ac:dyDescent="0.25">
      <c r="A11" s="15"/>
      <c r="B11" t="s">
        <v>4</v>
      </c>
      <c r="C11">
        <v>5</v>
      </c>
      <c r="D11">
        <v>7</v>
      </c>
      <c r="E11">
        <v>7</v>
      </c>
      <c r="F11">
        <v>9</v>
      </c>
    </row>
    <row r="12" spans="1:6" x14ac:dyDescent="0.25">
      <c r="A12" s="15"/>
      <c r="B12" t="s">
        <v>5</v>
      </c>
      <c r="C12">
        <f>C10-2*C11</f>
        <v>63</v>
      </c>
      <c r="D12">
        <f t="shared" ref="D12:F12" si="5">D10-2*D11</f>
        <v>76</v>
      </c>
      <c r="E12">
        <f t="shared" si="5"/>
        <v>100</v>
      </c>
      <c r="F12">
        <f t="shared" si="5"/>
        <v>96</v>
      </c>
    </row>
    <row r="15" spans="1:6" x14ac:dyDescent="0.25">
      <c r="B15" t="s">
        <v>12</v>
      </c>
      <c r="C15" s="1">
        <f>0.25*PI()*(C10^2-C12^2)</f>
        <v>1068.1415022205297</v>
      </c>
      <c r="D15" s="1">
        <f t="shared" ref="D15:F15" si="6">0.25*PI()*(D10^2-D12^2)</f>
        <v>1825.2653317356699</v>
      </c>
      <c r="E15" s="1">
        <f t="shared" si="6"/>
        <v>2353.0528975387551</v>
      </c>
      <c r="F15" s="1">
        <f t="shared" si="6"/>
        <v>2968.8050576423543</v>
      </c>
    </row>
    <row r="16" spans="1:6" x14ac:dyDescent="0.25">
      <c r="B16" t="s">
        <v>15</v>
      </c>
      <c r="C16" s="1">
        <f>C15/100</f>
        <v>10.681415022205297</v>
      </c>
      <c r="D16" s="1">
        <f t="shared" ref="D16:F16" si="7">D15/100</f>
        <v>18.2526533173567</v>
      </c>
      <c r="E16" s="1">
        <f t="shared" si="7"/>
        <v>23.530528975387551</v>
      </c>
      <c r="F16" s="1">
        <f t="shared" si="7"/>
        <v>29.688050576423542</v>
      </c>
    </row>
    <row r="17" spans="2:20" x14ac:dyDescent="0.25">
      <c r="B17" t="s">
        <v>13</v>
      </c>
      <c r="C17" s="1">
        <f>PI()*C10*1</f>
        <v>229.33626371205489</v>
      </c>
      <c r="D17" s="1">
        <f t="shared" ref="D17:F17" si="8">PI()*D10*1</f>
        <v>282.74333882308139</v>
      </c>
      <c r="E17" s="1">
        <f t="shared" si="8"/>
        <v>358.14156250923639</v>
      </c>
      <c r="F17" s="1">
        <f t="shared" si="8"/>
        <v>358.14156250923639</v>
      </c>
    </row>
    <row r="18" spans="2:20" x14ac:dyDescent="0.25">
      <c r="B18" t="s">
        <v>14</v>
      </c>
      <c r="C18" s="1">
        <f>C17/10^2</f>
        <v>2.2933626371205489</v>
      </c>
      <c r="D18" s="1">
        <f t="shared" ref="D18:F18" si="9">D17/10^2</f>
        <v>2.8274333882308138</v>
      </c>
      <c r="E18" s="1">
        <f t="shared" si="9"/>
        <v>3.5814156250923639</v>
      </c>
      <c r="F18" s="1">
        <f t="shared" si="9"/>
        <v>3.5814156250923639</v>
      </c>
    </row>
    <row r="19" spans="2:20" x14ac:dyDescent="0.25">
      <c r="B19" t="s">
        <v>16</v>
      </c>
      <c r="C19" s="5">
        <f>C18/100^2</f>
        <v>2.2933626371205489E-4</v>
      </c>
      <c r="D19" s="5">
        <f t="shared" ref="D19:F19" si="10">D18/100^2</f>
        <v>2.8274333882308137E-4</v>
      </c>
      <c r="E19" s="5">
        <f t="shared" si="10"/>
        <v>3.5814156250923637E-4</v>
      </c>
      <c r="F19" s="5">
        <f t="shared" si="10"/>
        <v>3.5814156250923637E-4</v>
      </c>
    </row>
    <row r="20" spans="2:20" x14ac:dyDescent="0.25">
      <c r="C20" s="1"/>
      <c r="D20" s="1"/>
      <c r="E20" s="1"/>
      <c r="F20" s="1"/>
    </row>
    <row r="21" spans="2:20" x14ac:dyDescent="0.25">
      <c r="B21" t="s">
        <v>0</v>
      </c>
      <c r="C21" s="1">
        <v>210000</v>
      </c>
      <c r="D21" s="1">
        <v>210000</v>
      </c>
      <c r="E21" s="1">
        <v>210000</v>
      </c>
      <c r="F21" s="1">
        <v>210000</v>
      </c>
    </row>
    <row r="22" spans="2:20" x14ac:dyDescent="0.25">
      <c r="B22" t="s">
        <v>1</v>
      </c>
      <c r="C22" s="2">
        <f>C21*C15</f>
        <v>224309715.46631125</v>
      </c>
      <c r="D22" s="2">
        <f>D21*D15</f>
        <v>383305719.6644907</v>
      </c>
      <c r="E22" s="2">
        <f>E21*E15</f>
        <v>494141108.48313856</v>
      </c>
      <c r="F22" s="2">
        <f>F21*F15</f>
        <v>623449062.1048944</v>
      </c>
    </row>
    <row r="23" spans="2:20" x14ac:dyDescent="0.25">
      <c r="B23" t="s">
        <v>2</v>
      </c>
      <c r="C23" s="2">
        <f>C22/1000</f>
        <v>224309.71546631126</v>
      </c>
      <c r="D23" s="2">
        <f t="shared" ref="D23:F23" si="11">D22/1000</f>
        <v>383305.71966449072</v>
      </c>
      <c r="E23" s="2">
        <f t="shared" si="11"/>
        <v>494141.10848313855</v>
      </c>
      <c r="F23" s="2">
        <f t="shared" si="11"/>
        <v>623449.06210489443</v>
      </c>
    </row>
    <row r="24" spans="2:20" x14ac:dyDescent="0.25">
      <c r="C24" s="2"/>
      <c r="D24" s="2"/>
      <c r="E24" s="2"/>
      <c r="F24" s="2"/>
    </row>
    <row r="26" spans="2:20" x14ac:dyDescent="0.25">
      <c r="B26" t="s">
        <v>34</v>
      </c>
      <c r="C26">
        <v>1</v>
      </c>
      <c r="Q26" s="16" t="s">
        <v>45</v>
      </c>
      <c r="R26" s="16"/>
      <c r="S26" s="16"/>
      <c r="T26" s="16"/>
    </row>
    <row r="27" spans="2:20" x14ac:dyDescent="0.25">
      <c r="B27" t="s">
        <v>35</v>
      </c>
      <c r="C27">
        <v>1</v>
      </c>
      <c r="Q27" s="10">
        <v>125</v>
      </c>
      <c r="R27" s="10">
        <v>150</v>
      </c>
      <c r="S27" s="10">
        <v>150</v>
      </c>
      <c r="T27" s="10">
        <v>150</v>
      </c>
    </row>
    <row r="28" spans="2:20" x14ac:dyDescent="0.25">
      <c r="B28" t="s">
        <v>38</v>
      </c>
      <c r="C28">
        <v>1.65</v>
      </c>
      <c r="Q28" s="9" t="s">
        <v>23</v>
      </c>
      <c r="R28" s="9" t="s">
        <v>23</v>
      </c>
      <c r="S28" s="9" t="s">
        <v>23</v>
      </c>
      <c r="T28" s="9" t="s">
        <v>23</v>
      </c>
    </row>
    <row r="29" spans="2:20" x14ac:dyDescent="0.25">
      <c r="B29" t="s">
        <v>39</v>
      </c>
      <c r="C29">
        <v>1.65</v>
      </c>
      <c r="Q29" s="10" t="s">
        <v>20</v>
      </c>
      <c r="R29" s="10" t="s">
        <v>19</v>
      </c>
      <c r="S29" s="10" t="s">
        <v>18</v>
      </c>
      <c r="T29" s="10" t="s">
        <v>17</v>
      </c>
    </row>
    <row r="30" spans="2:20" x14ac:dyDescent="0.25">
      <c r="Q30" s="24" t="s">
        <v>24</v>
      </c>
      <c r="R30" s="24"/>
      <c r="S30" s="24"/>
      <c r="T30" s="24"/>
    </row>
    <row r="31" spans="2:20" x14ac:dyDescent="0.25">
      <c r="O31" s="25" t="s">
        <v>30</v>
      </c>
      <c r="P31" s="9" t="s">
        <v>7</v>
      </c>
      <c r="Q31" s="11">
        <f>D40*$C$6*0.1/$C$26</f>
        <v>0</v>
      </c>
      <c r="R31" s="11">
        <f>D40*$D$6*0.1/$C$26</f>
        <v>0</v>
      </c>
      <c r="S31" s="11">
        <f>D40*$E$6*0.1/$C$26</f>
        <v>0</v>
      </c>
      <c r="T31" s="11">
        <f>D40*$F$6*0.1/$C$26</f>
        <v>0</v>
      </c>
    </row>
    <row r="32" spans="2:20" x14ac:dyDescent="0.25">
      <c r="B32" s="4"/>
      <c r="C32" s="4" t="s">
        <v>44</v>
      </c>
      <c r="D32" s="4" t="s">
        <v>11</v>
      </c>
      <c r="E32" s="4" t="s">
        <v>44</v>
      </c>
      <c r="F32" s="4" t="s">
        <v>11</v>
      </c>
      <c r="O32" s="25"/>
      <c r="P32" s="9" t="s">
        <v>8</v>
      </c>
      <c r="Q32" s="11">
        <f>D41*$C$6*0.1/$C$26</f>
        <v>4.2839899821678991</v>
      </c>
      <c r="R32" s="11">
        <f>D41*$D$6*0.1/$C$26</f>
        <v>5.1407879786014794</v>
      </c>
      <c r="S32" s="11">
        <f>D41*$E$6*0.1/$C$26</f>
        <v>5.1407879786014794</v>
      </c>
      <c r="T32" s="11">
        <f>D41*$F$6*0.1/$C$26</f>
        <v>5.1407879786014794</v>
      </c>
    </row>
    <row r="33" spans="1:20" x14ac:dyDescent="0.25">
      <c r="B33" s="4"/>
      <c r="C33" s="4" t="s">
        <v>42</v>
      </c>
      <c r="D33" s="4"/>
      <c r="E33" s="4" t="s">
        <v>43</v>
      </c>
      <c r="F33" s="4"/>
      <c r="O33" s="25"/>
      <c r="P33" s="9"/>
      <c r="Q33" s="11"/>
      <c r="R33" s="11"/>
      <c r="S33" s="11"/>
      <c r="T33" s="11"/>
    </row>
    <row r="34" spans="1:20" x14ac:dyDescent="0.25">
      <c r="B34" s="4" t="s">
        <v>7</v>
      </c>
      <c r="C34" s="6">
        <v>0</v>
      </c>
      <c r="D34" s="4">
        <f>C34*10</f>
        <v>0</v>
      </c>
      <c r="E34" s="6">
        <v>0</v>
      </c>
      <c r="F34" s="4">
        <f>E34*10</f>
        <v>0</v>
      </c>
      <c r="O34" s="25" t="s">
        <v>31</v>
      </c>
      <c r="P34" s="9" t="s">
        <v>7</v>
      </c>
      <c r="Q34" s="11">
        <f t="shared" ref="Q34:T35" si="12">0.15*Q31</f>
        <v>0</v>
      </c>
      <c r="R34" s="11">
        <f t="shared" si="12"/>
        <v>0</v>
      </c>
      <c r="S34" s="11">
        <f t="shared" si="12"/>
        <v>0</v>
      </c>
      <c r="T34" s="11">
        <f t="shared" si="12"/>
        <v>0</v>
      </c>
    </row>
    <row r="35" spans="1:20" x14ac:dyDescent="0.25">
      <c r="B35" s="4" t="s">
        <v>8</v>
      </c>
      <c r="C35" s="6">
        <v>0.18</v>
      </c>
      <c r="D35" s="4">
        <f>C35*10</f>
        <v>1.7999999999999998</v>
      </c>
      <c r="E35" s="6">
        <v>0.4</v>
      </c>
      <c r="F35" s="4">
        <f>E35*10</f>
        <v>4</v>
      </c>
      <c r="O35" s="25"/>
      <c r="P35" s="9" t="s">
        <v>8</v>
      </c>
      <c r="Q35" s="11">
        <f t="shared" si="12"/>
        <v>0.64259849732518481</v>
      </c>
      <c r="R35" s="11">
        <f t="shared" si="12"/>
        <v>0.77111819679022187</v>
      </c>
      <c r="S35" s="11">
        <f t="shared" si="12"/>
        <v>0.77111819679022187</v>
      </c>
      <c r="T35" s="11">
        <f t="shared" si="12"/>
        <v>0.77111819679022187</v>
      </c>
    </row>
    <row r="36" spans="1:20" x14ac:dyDescent="0.25">
      <c r="A36" s="4"/>
      <c r="C36" s="6"/>
      <c r="O36" s="25"/>
      <c r="P36" s="9"/>
      <c r="Q36" s="11"/>
      <c r="R36" s="11"/>
      <c r="S36" s="11"/>
      <c r="T36" s="11"/>
    </row>
    <row r="37" spans="1:20" x14ac:dyDescent="0.25">
      <c r="A37" s="4"/>
      <c r="C37" s="6"/>
    </row>
    <row r="38" spans="1:20" x14ac:dyDescent="0.25">
      <c r="A38" s="4"/>
      <c r="C38" s="14" t="s">
        <v>36</v>
      </c>
      <c r="D38" s="14"/>
      <c r="E38" s="14" t="s">
        <v>37</v>
      </c>
      <c r="F38" s="14"/>
      <c r="G38" t="s">
        <v>32</v>
      </c>
    </row>
    <row r="39" spans="1:20" x14ac:dyDescent="0.25">
      <c r="A39" s="4"/>
      <c r="C39" s="4" t="s">
        <v>6</v>
      </c>
      <c r="D39" s="4" t="s">
        <v>10</v>
      </c>
      <c r="E39" s="4" t="s">
        <v>6</v>
      </c>
      <c r="F39" s="4" t="s">
        <v>10</v>
      </c>
      <c r="G39" t="s">
        <v>33</v>
      </c>
      <c r="Q39" s="16" t="s">
        <v>45</v>
      </c>
      <c r="R39" s="16"/>
      <c r="S39" s="16"/>
      <c r="T39" s="16"/>
    </row>
    <row r="40" spans="1:20" x14ac:dyDescent="0.25">
      <c r="B40" t="s">
        <v>7</v>
      </c>
      <c r="C40" s="4">
        <f>D34</f>
        <v>0</v>
      </c>
      <c r="D40" s="7">
        <f>C40/C28</f>
        <v>0</v>
      </c>
      <c r="E40" s="4">
        <v>0</v>
      </c>
      <c r="F40" s="7">
        <f>E40/C29</f>
        <v>0</v>
      </c>
      <c r="G40" s="4">
        <v>6</v>
      </c>
      <c r="Q40" s="10">
        <v>125</v>
      </c>
      <c r="R40" s="10">
        <v>150</v>
      </c>
      <c r="S40" s="10">
        <v>150</v>
      </c>
      <c r="T40" s="10">
        <v>150</v>
      </c>
    </row>
    <row r="41" spans="1:20" x14ac:dyDescent="0.25">
      <c r="B41" t="s">
        <v>8</v>
      </c>
      <c r="C41" s="4">
        <f>D35</f>
        <v>1.7999999999999998</v>
      </c>
      <c r="D41" s="7">
        <f>C41/C28</f>
        <v>1.0909090909090908</v>
      </c>
      <c r="E41" s="4">
        <f>F35</f>
        <v>4</v>
      </c>
      <c r="F41" s="7">
        <f>E41/$C$29</f>
        <v>2.4242424242424243</v>
      </c>
      <c r="G41" s="4">
        <v>10</v>
      </c>
      <c r="Q41" s="9" t="s">
        <v>23</v>
      </c>
      <c r="R41" s="9" t="s">
        <v>23</v>
      </c>
      <c r="S41" s="9" t="s">
        <v>23</v>
      </c>
      <c r="T41" s="9" t="s">
        <v>23</v>
      </c>
    </row>
    <row r="42" spans="1:20" x14ac:dyDescent="0.25">
      <c r="Q42" s="10" t="s">
        <v>20</v>
      </c>
      <c r="R42" s="10" t="s">
        <v>19</v>
      </c>
      <c r="S42" s="10" t="s">
        <v>18</v>
      </c>
      <c r="T42" s="10" t="s">
        <v>17</v>
      </c>
    </row>
    <row r="43" spans="1:20" x14ac:dyDescent="0.25">
      <c r="Q43" s="20" t="s">
        <v>25</v>
      </c>
      <c r="R43" s="20"/>
      <c r="S43" s="20"/>
      <c r="T43" s="20"/>
    </row>
    <row r="44" spans="1:20" x14ac:dyDescent="0.25">
      <c r="O44" s="21" t="s">
        <v>30</v>
      </c>
      <c r="P44" s="9" t="s">
        <v>7</v>
      </c>
      <c r="Q44" s="11">
        <f>F40*$C$6*0.1/$C$26</f>
        <v>0</v>
      </c>
      <c r="R44" s="11">
        <f>F40*$D$6*0.1/$C$26</f>
        <v>0</v>
      </c>
      <c r="S44" s="11">
        <f>F40*$E$6*0.1/$C$26</f>
        <v>0</v>
      </c>
      <c r="T44" s="11">
        <f>F40*$F$6*0.1/$C$26</f>
        <v>0</v>
      </c>
    </row>
    <row r="45" spans="1:20" x14ac:dyDescent="0.25">
      <c r="O45" s="22"/>
      <c r="P45" s="9" t="s">
        <v>8</v>
      </c>
      <c r="Q45" s="11">
        <f>F41*$C$6*0.1/$C$26</f>
        <v>9.519977738150887</v>
      </c>
      <c r="R45" s="11">
        <f>F41*$D$6*0.1/$C$26</f>
        <v>11.423973285781067</v>
      </c>
      <c r="S45" s="11">
        <f>F41*$E$6*0.1/$C$26</f>
        <v>11.423973285781067</v>
      </c>
      <c r="T45" s="11">
        <f>F41*$F$6*0.1/$C$26</f>
        <v>11.423973285781067</v>
      </c>
    </row>
    <row r="46" spans="1:20" x14ac:dyDescent="0.25">
      <c r="O46" s="23"/>
      <c r="P46" s="9"/>
      <c r="Q46" s="11"/>
      <c r="R46" s="11"/>
      <c r="S46" s="11"/>
      <c r="T46" s="11"/>
    </row>
    <row r="47" spans="1:20" x14ac:dyDescent="0.25">
      <c r="O47" s="21" t="s">
        <v>31</v>
      </c>
      <c r="P47" s="9" t="s">
        <v>7</v>
      </c>
      <c r="Q47" s="11">
        <f t="shared" ref="Q47:T48" si="13">0.15*Q44</f>
        <v>0</v>
      </c>
      <c r="R47" s="11">
        <f t="shared" si="13"/>
        <v>0</v>
      </c>
      <c r="S47" s="11">
        <f t="shared" si="13"/>
        <v>0</v>
      </c>
      <c r="T47" s="11">
        <f t="shared" si="13"/>
        <v>0</v>
      </c>
    </row>
    <row r="48" spans="1:20" x14ac:dyDescent="0.25">
      <c r="O48" s="22"/>
      <c r="P48" s="9" t="s">
        <v>8</v>
      </c>
      <c r="Q48" s="11">
        <f t="shared" si="13"/>
        <v>1.4279966607226331</v>
      </c>
      <c r="R48" s="11">
        <f t="shared" si="13"/>
        <v>1.71359599286716</v>
      </c>
      <c r="S48" s="11">
        <f t="shared" si="13"/>
        <v>1.71359599286716</v>
      </c>
      <c r="T48" s="11">
        <f t="shared" si="13"/>
        <v>1.71359599286716</v>
      </c>
    </row>
    <row r="49" spans="15:20" x14ac:dyDescent="0.25">
      <c r="O49" s="23"/>
      <c r="P49" s="9"/>
      <c r="Q49" s="11"/>
      <c r="R49" s="11"/>
      <c r="S49" s="11"/>
      <c r="T49" s="11"/>
    </row>
    <row r="51" spans="15:20" x14ac:dyDescent="0.25">
      <c r="Q51" s="17" t="s">
        <v>29</v>
      </c>
      <c r="R51" s="18"/>
      <c r="S51" s="18"/>
      <c r="T51" s="19"/>
    </row>
    <row r="52" spans="15:20" x14ac:dyDescent="0.25">
      <c r="P52" s="12" t="s">
        <v>26</v>
      </c>
      <c r="Q52" s="9">
        <v>21.36</v>
      </c>
      <c r="R52" s="9">
        <v>36.51</v>
      </c>
      <c r="S52" s="9">
        <v>47.06</v>
      </c>
      <c r="T52" s="9">
        <v>59.38</v>
      </c>
    </row>
    <row r="53" spans="15:20" x14ac:dyDescent="0.25">
      <c r="P53" s="12" t="s">
        <v>27</v>
      </c>
      <c r="Q53" s="9">
        <v>26.7</v>
      </c>
      <c r="R53" s="9">
        <v>45.63</v>
      </c>
      <c r="S53" s="9">
        <v>58.83</v>
      </c>
      <c r="T53" s="9">
        <v>74.22</v>
      </c>
    </row>
    <row r="54" spans="15:20" x14ac:dyDescent="0.25">
      <c r="P54" s="12" t="s">
        <v>28</v>
      </c>
      <c r="Q54" s="9">
        <v>13.35</v>
      </c>
      <c r="R54" s="9">
        <v>22.82</v>
      </c>
      <c r="S54" s="9">
        <v>29.41</v>
      </c>
      <c r="T54" s="9">
        <v>37.11</v>
      </c>
    </row>
  </sheetData>
  <mergeCells count="12">
    <mergeCell ref="A10:A12"/>
    <mergeCell ref="C38:D38"/>
    <mergeCell ref="E38:F38"/>
    <mergeCell ref="Q30:T30"/>
    <mergeCell ref="O31:O33"/>
    <mergeCell ref="O34:O36"/>
    <mergeCell ref="Q26:T26"/>
    <mergeCell ref="Q39:T39"/>
    <mergeCell ref="Q51:T51"/>
    <mergeCell ref="Q43:T43"/>
    <mergeCell ref="O44:O46"/>
    <mergeCell ref="O47:O4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Micros Bustamante</vt:lpstr>
      <vt:lpstr>Micros Bustamante prueba</vt:lpstr>
      <vt:lpstr>GDMP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López Pineda</dc:creator>
  <cp:lastModifiedBy>Germán  López Pineda</cp:lastModifiedBy>
  <dcterms:created xsi:type="dcterms:W3CDTF">2015-06-05T18:19:34Z</dcterms:created>
  <dcterms:modified xsi:type="dcterms:W3CDTF">2026-03-10T14:20:14Z</dcterms:modified>
</cp:coreProperties>
</file>